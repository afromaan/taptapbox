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fe2883faedf2c4/Desktop/dash cluster/ucetnictvi/"/>
    </mc:Choice>
  </mc:AlternateContent>
  <xr:revisionPtr revIDLastSave="2246" documentId="14_{A5C99B4C-0375-461A-89CD-3B7F4C1A3DD7}" xr6:coauthVersionLast="47" xr6:coauthVersionMax="47" xr10:uidLastSave="{FC35E871-64F1-4CB3-8462-A0EDA8167026}"/>
  <bookViews>
    <workbookView xWindow="-120" yWindow="-120" windowWidth="29040" windowHeight="15720" activeTab="1" xr2:uid="{C5ED2B79-0C50-4B76-979C-152307558E84}"/>
  </bookViews>
  <sheets>
    <sheet name="SKLAD" sheetId="5" r:id="rId1"/>
    <sheet name="DASHCLUSTER classic V1" sheetId="1" r:id="rId2"/>
    <sheet name="DASHCLUSTER premium V1" sheetId="3" r:id="rId3"/>
    <sheet name="Rok 2026" sheetId="2" r:id="rId4"/>
    <sheet name="Rok 2027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5" l="1" a="1"/>
  <c r="H9" i="5" s="1"/>
  <c r="H7" i="5" a="1"/>
  <c r="H7" i="5" s="1"/>
  <c r="H3" i="5" a="1"/>
  <c r="H3" i="5" s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4" i="5"/>
  <c r="E3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4" i="5"/>
  <c r="D3" i="5"/>
  <c r="H9" i="2"/>
  <c r="H8" i="2"/>
  <c r="H3" i="2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P9" i="4"/>
  <c r="F9" i="4"/>
  <c r="P8" i="4"/>
  <c r="F8" i="4"/>
  <c r="P7" i="4"/>
  <c r="F7" i="4"/>
  <c r="P6" i="4"/>
  <c r="F6" i="4"/>
  <c r="P5" i="4"/>
  <c r="H5" i="4"/>
  <c r="F5" i="4"/>
  <c r="P4" i="4"/>
  <c r="L4" i="4"/>
  <c r="H4" i="4"/>
  <c r="F4" i="4"/>
  <c r="P3" i="4"/>
  <c r="L3" i="4"/>
  <c r="H3" i="4"/>
  <c r="H1" i="4"/>
  <c r="H5" i="2"/>
  <c r="H4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72" i="2"/>
  <c r="F71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38" i="2"/>
  <c r="F37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5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P4" i="2"/>
  <c r="P3" i="2"/>
  <c r="S56" i="3"/>
  <c r="R56" i="3"/>
  <c r="H56" i="3"/>
  <c r="G56" i="3"/>
  <c r="T55" i="3"/>
  <c r="I55" i="3"/>
  <c r="H24" i="3" s="1"/>
  <c r="T54" i="3"/>
  <c r="I54" i="3"/>
  <c r="H23" i="3" s="1"/>
  <c r="T53" i="3"/>
  <c r="I53" i="3"/>
  <c r="H22" i="3" s="1"/>
  <c r="T52" i="3"/>
  <c r="I52" i="3"/>
  <c r="H21" i="3" s="1"/>
  <c r="T51" i="3"/>
  <c r="I51" i="3"/>
  <c r="H20" i="3" s="1"/>
  <c r="T50" i="3"/>
  <c r="I50" i="3"/>
  <c r="H19" i="3" s="1"/>
  <c r="T49" i="3"/>
  <c r="I49" i="3"/>
  <c r="H18" i="3" s="1"/>
  <c r="T48" i="3"/>
  <c r="I48" i="3"/>
  <c r="H17" i="3" s="1"/>
  <c r="T47" i="3"/>
  <c r="I47" i="3"/>
  <c r="H16" i="3" s="1"/>
  <c r="T46" i="3"/>
  <c r="I46" i="3"/>
  <c r="H15" i="3" s="1"/>
  <c r="T45" i="3"/>
  <c r="I45" i="3"/>
  <c r="H14" i="3" s="1"/>
  <c r="T44" i="3"/>
  <c r="I44" i="3"/>
  <c r="H13" i="3" s="1"/>
  <c r="T43" i="3"/>
  <c r="I43" i="3"/>
  <c r="H12" i="3" s="1"/>
  <c r="T42" i="3"/>
  <c r="I42" i="3"/>
  <c r="T41" i="3"/>
  <c r="I41" i="3"/>
  <c r="T40" i="3"/>
  <c r="I40" i="3"/>
  <c r="T39" i="3"/>
  <c r="I39" i="3"/>
  <c r="T38" i="3"/>
  <c r="I38" i="3"/>
  <c r="T37" i="3"/>
  <c r="I37" i="3"/>
  <c r="T36" i="3"/>
  <c r="I36" i="3"/>
  <c r="T35" i="3"/>
  <c r="I35" i="3"/>
  <c r="T34" i="3"/>
  <c r="T56" i="3" s="1"/>
  <c r="I34" i="3"/>
  <c r="H30" i="3"/>
  <c r="H29" i="3"/>
  <c r="H28" i="3"/>
  <c r="H27" i="3"/>
  <c r="H26" i="3"/>
  <c r="H11" i="3"/>
  <c r="H10" i="3"/>
  <c r="H9" i="3"/>
  <c r="H8" i="3"/>
  <c r="H7" i="3"/>
  <c r="H6" i="3"/>
  <c r="H5" i="3"/>
  <c r="H4" i="3"/>
  <c r="H3" i="3"/>
  <c r="H1" i="3"/>
  <c r="L4" i="2"/>
  <c r="L3" i="2"/>
  <c r="H1" i="2"/>
  <c r="H22" i="1"/>
  <c r="H23" i="1"/>
  <c r="H24" i="1"/>
  <c r="H26" i="1"/>
  <c r="H27" i="1"/>
  <c r="H28" i="1"/>
  <c r="H29" i="1"/>
  <c r="H30" i="1"/>
  <c r="H1" i="1"/>
  <c r="R56" i="1"/>
  <c r="S56" i="1"/>
  <c r="I35" i="1"/>
  <c r="H4" i="1" s="1"/>
  <c r="I36" i="1"/>
  <c r="H5" i="1" s="1"/>
  <c r="I37" i="1"/>
  <c r="H6" i="1" s="1"/>
  <c r="I38" i="1"/>
  <c r="H7" i="1" s="1"/>
  <c r="I39" i="1"/>
  <c r="H8" i="1" s="1"/>
  <c r="I40" i="1"/>
  <c r="H9" i="1" s="1"/>
  <c r="I41" i="1"/>
  <c r="H10" i="1" s="1"/>
  <c r="I42" i="1"/>
  <c r="H11" i="1" s="1"/>
  <c r="I43" i="1"/>
  <c r="H12" i="1" s="1"/>
  <c r="I44" i="1"/>
  <c r="H13" i="1" s="1"/>
  <c r="I45" i="1"/>
  <c r="H14" i="1" s="1"/>
  <c r="I46" i="1"/>
  <c r="H15" i="1" s="1"/>
  <c r="I47" i="1"/>
  <c r="H16" i="1" s="1"/>
  <c r="I48" i="1"/>
  <c r="H17" i="1" s="1"/>
  <c r="I49" i="1"/>
  <c r="H18" i="1" s="1"/>
  <c r="I50" i="1"/>
  <c r="H19" i="1" s="1"/>
  <c r="I51" i="1"/>
  <c r="H20" i="1" s="1"/>
  <c r="I52" i="1"/>
  <c r="H21" i="1" s="1"/>
  <c r="I53" i="1"/>
  <c r="I54" i="1"/>
  <c r="I55" i="1"/>
  <c r="I34" i="1"/>
  <c r="H3" i="1" s="1"/>
  <c r="H56" i="1"/>
  <c r="G56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34" i="1"/>
  <c r="T56" i="1" s="1"/>
  <c r="H5" i="5" l="1"/>
  <c r="H6" i="4" a="1"/>
  <c r="H6" i="4" s="1"/>
  <c r="H7" i="4" s="1"/>
  <c r="I56" i="3"/>
  <c r="H25" i="3" s="1"/>
  <c r="M9" i="3" s="1"/>
  <c r="I56" i="1"/>
  <c r="H25" i="1" s="1"/>
  <c r="M9" i="1" s="1"/>
  <c r="M10" i="1" l="1"/>
  <c r="L5" i="4"/>
  <c r="L5" i="2"/>
  <c r="P5" i="2"/>
  <c r="M10" i="3"/>
  <c r="M13" i="1" l="1"/>
  <c r="L6" i="4"/>
  <c r="L6" i="2"/>
  <c r="P6" i="2"/>
  <c r="M13" i="3"/>
  <c r="L9" i="4" l="1"/>
  <c r="M11" i="1"/>
  <c r="L9" i="2"/>
  <c r="P9" i="2"/>
  <c r="M11" i="3"/>
  <c r="L7" i="4" l="1"/>
  <c r="M12" i="1"/>
  <c r="L7" i="2"/>
  <c r="M12" i="3"/>
  <c r="P8" i="2" s="1"/>
  <c r="P7" i="2"/>
  <c r="L8" i="2" l="1"/>
  <c r="F4" i="2" s="1"/>
  <c r="H6" i="2" s="1" a="1"/>
  <c r="H6" i="2" s="1"/>
  <c r="H7" i="2" s="1"/>
  <c r="L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<sst xmlns="http://schemas.openxmlformats.org/spreadsheetml/2006/main" count="1307" uniqueCount="299">
  <si>
    <t>cena</t>
  </si>
  <si>
    <t>Brown Switche</t>
  </si>
  <si>
    <t>cena 1ks</t>
  </si>
  <si>
    <t>ks v balení</t>
  </si>
  <si>
    <t>LED pásek (pro jednotlivé LED)</t>
  </si>
  <si>
    <t>Raspberry Pi Pico klon 16MB, USB-C</t>
  </si>
  <si>
    <t>PCB (počítat s velkovýrobní cenou)</t>
  </si>
  <si>
    <t>Datový  kabel USB-C</t>
  </si>
  <si>
    <t>Dupont kabely samec-samice</t>
  </si>
  <si>
    <t>Šrouby M2x10mm</t>
  </si>
  <si>
    <t>Matice M2</t>
  </si>
  <si>
    <t>Distanční sloupky M2, různé velikosti</t>
  </si>
  <si>
    <t>Resin černý standart Anycubic (Water-Washable)</t>
  </si>
  <si>
    <t>&lt;= v gramech</t>
  </si>
  <si>
    <t>3 pozicový spínač zapalování</t>
  </si>
  <si>
    <t>Expander GPIO pinů</t>
  </si>
  <si>
    <t>Uzavíratelné sáčky</t>
  </si>
  <si>
    <t>Krabice 300x250x150mm</t>
  </si>
  <si>
    <t>Etiketa - samolepící papír do tiskárny</t>
  </si>
  <si>
    <t>Flashdisk 4GB - návod atd.</t>
  </si>
  <si>
    <t>Materiál/komponenta nutné k výrobě jednoho kusu</t>
  </si>
  <si>
    <t>Materiál/komponenta použitelné opakovaně</t>
  </si>
  <si>
    <t>Cín na pájení</t>
  </si>
  <si>
    <t>potřeba dokoupit kusů</t>
  </si>
  <si>
    <t>celková cena</t>
  </si>
  <si>
    <t>Kalafuna</t>
  </si>
  <si>
    <t>PCB testovacích desek (5 je minimum výrobce)</t>
  </si>
  <si>
    <t>Celkem</t>
  </si>
  <si>
    <t>Kolik (ks) jakých materiálů/komponent bylo potřeba?</t>
  </si>
  <si>
    <t>Dnes je</t>
  </si>
  <si>
    <t>kusy/gramy</t>
  </si>
  <si>
    <t xml:space="preserve">Celkové náklady </t>
  </si>
  <si>
    <t>Marže (v %)</t>
  </si>
  <si>
    <t>Zadej a změň</t>
  </si>
  <si>
    <t>Hrubý výdělek</t>
  </si>
  <si>
    <t>Výdělek bez nákladů</t>
  </si>
  <si>
    <t>Čistý výdělek</t>
  </si>
  <si>
    <t>Daň (v %)</t>
  </si>
  <si>
    <t>Výpočet nákladů, prodejů a zisků</t>
  </si>
  <si>
    <t>Rezistory různé odpory</t>
  </si>
  <si>
    <t>Kde koupit</t>
  </si>
  <si>
    <t>Položka</t>
  </si>
  <si>
    <t>https://allegro.cz/produkt/sada-rezistoru-1-4w-600-kusu-443a4e21-a0e8-4a6d-8e26-1717ab41f51c?offerId=15596420918</t>
  </si>
  <si>
    <t>https://allegro.cz/produkt/mechanicka-klavesnice-spinace-gateron-brown-pro-3-0-predmazane-110-ks-1a03a194-59c6-4ab7-bef3-70fca2c897a8?offerId=14999298358&amp;utm_feed=712e6653-4749-4512-b084-b6e297fc9e0b&amp;utm_source=google&amp;utm_medium=cpc&amp;utm_campaign=CZ%3EElectro%3EComputers%3E3P%3EPLA&amp;ev_adgr=Ad%20group%201&amp;ev_campaign_id=22848223665&amp;gad_source=1&amp;gad_campaignid=22848223665&amp;gbraid=0AAAAApZ4Y9TrmTxzg6MMZGhEdpwW566HL&amp;gclid=CjwKCAiAj8LLBhAkEiwAJjbY784zh6GEzndhxq5QKpzX8sBm0vYArJz1veYanQpGR-LRBlIBNPRNLRoCJTwQAvD_BwE</t>
  </si>
  <si>
    <t>https://allegro.cz/produkt/led-pasek-rgb-ws2812b-1m-144-led-m-dc3c2eac-3cc3-4824-8311-bd2b831665b2?offerId=18175233253</t>
  </si>
  <si>
    <t>https://allegro.cz/produkt/klon-raspberry-pi-pico-yd-rp2040-16mb-flash-usb-c-d5503e8e-5dc2-4e11-9717-2bbc3e3d3597?offerId=13528863155</t>
  </si>
  <si>
    <t>https://www.eecart.com/bom/quote?f=PCB</t>
  </si>
  <si>
    <t>https://allegro.cz/produkt/kabel-interlook-usb-usb-3-1-typ-c-1-m-cerny-a2577bd0-b2a2-4526-8d83-5f76b9a739c6?offerId=17851988217</t>
  </si>
  <si>
    <t>https://allegro.cz/produkt/propojovaci-kabely-samec-samice-20cm-40ks-arduino-dupont-3027b2cd-9eda-4329-a544-413d626328f6?offerId=15247011954</t>
  </si>
  <si>
    <t>https://allegro.cz/produkt/sroub-s-vnitrnim-sestihranem-din-912-m2x10-12-9-cz-pgw-500ks-57ac7d3c-914a-4cdb-af0c-7f86cc6a3e44?offerId=17444176805</t>
  </si>
  <si>
    <t>https://allegro.cz/produkt/sestihranne-matice-m2-a2-din-934-1500-ks-48c8c49e-f48a-4401-9ec5-fd7dff724994?offerId=14397397312</t>
  </si>
  <si>
    <t>https://allegro.cz/produkt/320-ks-mosazne-distancni-sloupky-m2-typ-typ-prvku-zde-doplnte-konkretni-typ-fd489c30-2ac8-4b7a-8525-2d9a77b790bf?offerId=14362121772</t>
  </si>
  <si>
    <t>https://allegro.cz/produkt/spinac-zapalovani-3-polohy-on-off-start-quad-traktor-sekacka-f2aa7911-b173-413e-b567-5ea15c33551e?offerId=17748141881&amp;utm_feed=712e6653-4749-4512-b084-b6e297fc9e0b&amp;utm_source=google&amp;utm_medium=cpc&amp;utm_campaign=CZ%3EAuto%3EVehicle-Parts-Moto-Accessories%3E3P%3EPMAX&amp;ev_campaign_id=20977861611&amp;gad_source=1&amp;gad_campaignid=20977873899&amp;gbraid=0AAAAApZ4Y9RnPbB8s7FvCidAMubRJhKLK&amp;gclid=CjwKCAiAybfLBhAjEiwAI0mBBkLY5FJhkTdtRjLOvIvBaaYFZn26Dbqju5H8z1E5McXuRuCfqRKn0RoC7b4QAvD_BwE</t>
  </si>
  <si>
    <t>https://allegro.cz/produkt/i2c-multiplexer-tca9548a-2ef6a1c9-f65f-42e0-91eb-55106bc5c4ce?offerId=13855602088</t>
  </si>
  <si>
    <t>https://allegro.cz/produkt/sacky-se-zipem-100-kusu-100x150mm-35mic-dotts-1d7bc2fc-6cbb-47a3-9a80-9f03ba0c0cb5?offerId=18034558923</t>
  </si>
  <si>
    <t>https://allegro.cz/produkt/klopova-krabice-ironpack-300x250x150-mm-380-g-m2-20-ks-e44f0985-aa2f-449a-a58b-0b9b1fd2d159?offerId=17178839794</t>
  </si>
  <si>
    <t>https://allegro.cz/produkt/samolepici-etikety-a4-100-listu-210x297-mm-54b9d00f-b23f-450f-a1e0-0376e6e08632?offerId=17058006928</t>
  </si>
  <si>
    <t>https://allegro.cz/nabidka/flashdisk-prenosny-cerny-4gb-2-0-15097501285?context=f2fca9e907985b5b6193b238b6a4731e0a218b5dba9a6378eda5c09d69739c675a24584052be1238a92f3f5d4d3cbee10271a3203a8ccb6722afb88265da1621d94036a72a946db354a8a6269d14f89129cd5b376e028a793d9926ac79e48f9c625423c6dc78be09a56876a37507ad6bb81779aabac3e0bba1eaa33e553ab57b35fcec81c659f53bd2dd30ba70238760&amp;sellerHasChanged=false&amp;fromVariant=15097529032</t>
  </si>
  <si>
    <t>Keramický kondenzátor</t>
  </si>
  <si>
    <t>https://allegro.cz/produkt/keramicky-kondenzator-100nf-25v-n220-lizatko-20-kusu-86b7e230-9875-40e3-876e-cd82a81ce995?offerId=12038109700</t>
  </si>
  <si>
    <t>Elektrolytický kondenzátor</t>
  </si>
  <si>
    <t>https://allegro.cz/produkt/elektrolyticky-kondenzator-1000uf-25v-105c-4ks-5699ecd0-977e-42ba-95fb-d618521d9068?offerId=9147174135</t>
  </si>
  <si>
    <t>Rezistory</t>
  </si>
  <si>
    <t>Prodejní cena</t>
  </si>
  <si>
    <t>Roční přehled</t>
  </si>
  <si>
    <t>Duben</t>
  </si>
  <si>
    <t>Den</t>
  </si>
  <si>
    <t>Prodeje (vyber)</t>
  </si>
  <si>
    <t>Výsledek za den</t>
  </si>
  <si>
    <t>1. dubna</t>
  </si>
  <si>
    <t>2. dubna</t>
  </si>
  <si>
    <t>3. dubna</t>
  </si>
  <si>
    <t>4. dubna</t>
  </si>
  <si>
    <t>5. dubna</t>
  </si>
  <si>
    <t>6. dubna</t>
  </si>
  <si>
    <t>7. dubna</t>
  </si>
  <si>
    <t>8. dubna</t>
  </si>
  <si>
    <t>9. dubna</t>
  </si>
  <si>
    <t>10. dubna</t>
  </si>
  <si>
    <t>11. dubna</t>
  </si>
  <si>
    <t>12. dubna</t>
  </si>
  <si>
    <t>13. dubna</t>
  </si>
  <si>
    <t>14. dubna</t>
  </si>
  <si>
    <t>15. dubna</t>
  </si>
  <si>
    <t>16. dubna</t>
  </si>
  <si>
    <t>17. dubna</t>
  </si>
  <si>
    <t>18. dubna</t>
  </si>
  <si>
    <t>19. dubna</t>
  </si>
  <si>
    <t>20. dubna</t>
  </si>
  <si>
    <t>21. dubna</t>
  </si>
  <si>
    <t>22. dubna</t>
  </si>
  <si>
    <t>23. dubna</t>
  </si>
  <si>
    <t>24. dubna</t>
  </si>
  <si>
    <t>25. dubna</t>
  </si>
  <si>
    <t>26. dubna</t>
  </si>
  <si>
    <t>27. dubna</t>
  </si>
  <si>
    <t>28. dubna</t>
  </si>
  <si>
    <t>29. dubna</t>
  </si>
  <si>
    <t>30. dubna</t>
  </si>
  <si>
    <t>Přehled</t>
  </si>
  <si>
    <t>Roční shrnutí</t>
  </si>
  <si>
    <t>DASHCLUSTER premium V1</t>
  </si>
  <si>
    <t>DASHCLUSTER classic V1</t>
  </si>
  <si>
    <t>https://allegro.cz/produkt/uv-pryskyrice-anycubic-water-washable-clear-1-kg-f9882644-07f3-47ec-83a0-7f8d33f6e1a2?offerId=14168569346&amp;utm_feed=712e6653-4749-4512-b084-b6e297fc9e0b&amp;utm_source=google&amp;utm_medium=cpc&amp;utm_campaign=CZ%3EElectro%3EComputers%3E3P%3EPLA&amp;ev_adgr=Ad%20group%201&amp;ev_campaign_id=22848223665&amp;gad_source=1&amp;gad_campaignid=22848223665&amp;gbraid=0AAAAApZ4Y9T8t_uDEBM4fJCPVUpjRT_dI&amp;gclid=Cj0KCQiA-NHLBhDSARIsAIhe9X3GIvpUyLb9B49Jltg0v37K9r2J4_E80NqC2qasr7GmzvTXO-puMD8aApHLEALw_wcB</t>
  </si>
  <si>
    <t>Resin High-Clear Anycubic</t>
  </si>
  <si>
    <t>Jiné výdaje</t>
  </si>
  <si>
    <t>Prodáno kusů</t>
  </si>
  <si>
    <t>Jiné příjmy (Kč)</t>
  </si>
  <si>
    <t>Jiné výdaje (Kč)</t>
  </si>
  <si>
    <t>Bez prodejů</t>
  </si>
  <si>
    <t>Květen</t>
  </si>
  <si>
    <t>1. května</t>
  </si>
  <si>
    <t>2. května</t>
  </si>
  <si>
    <t>3. května</t>
  </si>
  <si>
    <t>4. května</t>
  </si>
  <si>
    <t>5. května</t>
  </si>
  <si>
    <t>6. května</t>
  </si>
  <si>
    <t>7. května</t>
  </si>
  <si>
    <t>8. května</t>
  </si>
  <si>
    <t>9. května</t>
  </si>
  <si>
    <t>10. května</t>
  </si>
  <si>
    <t>11. května</t>
  </si>
  <si>
    <t>12. května</t>
  </si>
  <si>
    <t>13. května</t>
  </si>
  <si>
    <t>14. května</t>
  </si>
  <si>
    <t>15. května</t>
  </si>
  <si>
    <t>16. května</t>
  </si>
  <si>
    <t>17. května</t>
  </si>
  <si>
    <t>18. května</t>
  </si>
  <si>
    <t>19. května</t>
  </si>
  <si>
    <t>20. května</t>
  </si>
  <si>
    <t>21. května</t>
  </si>
  <si>
    <t>22. května</t>
  </si>
  <si>
    <t>23. května</t>
  </si>
  <si>
    <t>24. května</t>
  </si>
  <si>
    <t>25. května</t>
  </si>
  <si>
    <t>26. května</t>
  </si>
  <si>
    <t>27. května</t>
  </si>
  <si>
    <t>28. května</t>
  </si>
  <si>
    <t>29. května</t>
  </si>
  <si>
    <t>30. května</t>
  </si>
  <si>
    <t>31. května</t>
  </si>
  <si>
    <t>Červen</t>
  </si>
  <si>
    <t>1. června</t>
  </si>
  <si>
    <t>2. června</t>
  </si>
  <si>
    <t>3. června</t>
  </si>
  <si>
    <t>4. června</t>
  </si>
  <si>
    <t>5. června</t>
  </si>
  <si>
    <t>6. června</t>
  </si>
  <si>
    <t>7. června</t>
  </si>
  <si>
    <t>8. června</t>
  </si>
  <si>
    <t>9. června</t>
  </si>
  <si>
    <t>10. června</t>
  </si>
  <si>
    <t>11. června</t>
  </si>
  <si>
    <t>12. června</t>
  </si>
  <si>
    <t>13. června</t>
  </si>
  <si>
    <t>14. června</t>
  </si>
  <si>
    <t>15. června</t>
  </si>
  <si>
    <t>16. června</t>
  </si>
  <si>
    <t>17. června</t>
  </si>
  <si>
    <t>18. června</t>
  </si>
  <si>
    <t>19. června</t>
  </si>
  <si>
    <t>20. června</t>
  </si>
  <si>
    <t>21. června</t>
  </si>
  <si>
    <t>22. června</t>
  </si>
  <si>
    <t>23. června</t>
  </si>
  <si>
    <t>24. června</t>
  </si>
  <si>
    <t>25. června</t>
  </si>
  <si>
    <t>26. června</t>
  </si>
  <si>
    <t>27. června</t>
  </si>
  <si>
    <t>28. června</t>
  </si>
  <si>
    <t>29. června</t>
  </si>
  <si>
    <t>30. června</t>
  </si>
  <si>
    <t>Červenec</t>
  </si>
  <si>
    <t>1. července</t>
  </si>
  <si>
    <t>2. července</t>
  </si>
  <si>
    <t>3. července</t>
  </si>
  <si>
    <t>4. července</t>
  </si>
  <si>
    <t>5. července</t>
  </si>
  <si>
    <t>6. července</t>
  </si>
  <si>
    <t>7. července</t>
  </si>
  <si>
    <t>8. července</t>
  </si>
  <si>
    <t>9. července</t>
  </si>
  <si>
    <t>10. července</t>
  </si>
  <si>
    <t>11. července</t>
  </si>
  <si>
    <t>12. července</t>
  </si>
  <si>
    <t>13. července</t>
  </si>
  <si>
    <t>14. července</t>
  </si>
  <si>
    <t>15. července</t>
  </si>
  <si>
    <t>16. července</t>
  </si>
  <si>
    <t>17. července</t>
  </si>
  <si>
    <t>18. července</t>
  </si>
  <si>
    <t>19. července</t>
  </si>
  <si>
    <t>20. července</t>
  </si>
  <si>
    <t>21. července</t>
  </si>
  <si>
    <t>22. července</t>
  </si>
  <si>
    <t>23. července</t>
  </si>
  <si>
    <t>24. července</t>
  </si>
  <si>
    <t>25. července</t>
  </si>
  <si>
    <t>26. července</t>
  </si>
  <si>
    <t>27. července</t>
  </si>
  <si>
    <t>28. července</t>
  </si>
  <si>
    <t>29. července</t>
  </si>
  <si>
    <t>30. července</t>
  </si>
  <si>
    <t>31. července</t>
  </si>
  <si>
    <t>Srpen</t>
  </si>
  <si>
    <t>1. srpna</t>
  </si>
  <si>
    <t>2. srpna</t>
  </si>
  <si>
    <t>3. srpna</t>
  </si>
  <si>
    <t>4. srpna</t>
  </si>
  <si>
    <t>5. srpna</t>
  </si>
  <si>
    <t>6. srpna</t>
  </si>
  <si>
    <t>7. srpna</t>
  </si>
  <si>
    <t>8. srpna</t>
  </si>
  <si>
    <t>9. srpna</t>
  </si>
  <si>
    <t>10. srpna</t>
  </si>
  <si>
    <t>11. srpna</t>
  </si>
  <si>
    <t>12. srpna</t>
  </si>
  <si>
    <t>13. srpna</t>
  </si>
  <si>
    <t>14. srpna</t>
  </si>
  <si>
    <t>15. srpna</t>
  </si>
  <si>
    <t>16. srpna</t>
  </si>
  <si>
    <t>17. srpna</t>
  </si>
  <si>
    <t>18. srpna</t>
  </si>
  <si>
    <t>19. srpna</t>
  </si>
  <si>
    <t>20. srpna</t>
  </si>
  <si>
    <t>21. srpna</t>
  </si>
  <si>
    <t>22. srpna</t>
  </si>
  <si>
    <t>23. srpna</t>
  </si>
  <si>
    <t>24. srpna</t>
  </si>
  <si>
    <t>25. srpna</t>
  </si>
  <si>
    <t>26. srpna</t>
  </si>
  <si>
    <t>27. srpna</t>
  </si>
  <si>
    <t>28. srpna</t>
  </si>
  <si>
    <t>29. srpna</t>
  </si>
  <si>
    <t>30. srpna</t>
  </si>
  <si>
    <t>31. srpna</t>
  </si>
  <si>
    <t>Září</t>
  </si>
  <si>
    <t>Říjen</t>
  </si>
  <si>
    <t>Listopad</t>
  </si>
  <si>
    <t>Jiné příjmy</t>
  </si>
  <si>
    <t>Celkově /2</t>
  </si>
  <si>
    <t>Celkem kusů</t>
  </si>
  <si>
    <t>Celkově čisté</t>
  </si>
  <si>
    <t>Rezistory 330R 0.25W</t>
  </si>
  <si>
    <t>https://www.aliexpress.com/item/1005006185766338.html?spm=a2g0o.productlist.main.1.2e26Q1PqQ1Pqy6&amp;algo_pvid=7e7fca84-0947-49d5-b55d-abf2e054019e&amp;algo_exp_id=7e7fca84-0947-49d5-b55d-abf2e054019e-0&amp;pdp_ext_f=%7B%22order%22%3A%2253%22%2C%22spu_best_type%22%3A%22price%22%2C%22eval%22%3A%221%22%2C%22fromPage%22%3A%22search%22%7D&amp;pdp_npi=6%40dis%21CZK%2163.95%2132.93%21%21%2121.47%2111.05%21%402103919917695937536564356e73d1%2112000036181496834%21sea%21CZ%210%21ABX%211%210%21n_tag%3A-29910%3Bd%3Aa7761a59%3Bm03_new_user%3A-29895%3BpisId%3A5000000197850290&amp;curPageLogUid=EDeHZdAzWaxp&amp;utparam-url=scene%3Asearch%7Cquery_from%3A%7Cx_object_id%3A1005006185766338%7C_p_origin_prod%3A#nav-specification</t>
  </si>
  <si>
    <t>https://jlcpcb.com/</t>
  </si>
  <si>
    <t>https://www.aliexpress.com/item/1005008665765518.html?spm=a2g0o.productlist.main.38.70b8fdtxfdtx9g&amp;algo_pvid=4d6829ef-d13b-4404-b878-91837bc81a90&amp;algo_exp_id=4d6829ef-d13b-4404-b878-91837bc81a90-37&amp;pdp_ext_f=%7B%22order%22%3A%223%22%2C%22eval%22%3A%221%22%2C%22fromPage%22%3A%22search%22%7D&amp;pdp_npi=6%40dis%21CZK%21519.63%21285.76%21%21%2125.13%2113.82%21%402103864c17695944498377947eb6be%2112000046153012182%21sea%21CZ%210%21ABX%211%210%21n_tag%3A-29910%3Bd%3Aa7761a59%3Bm03_new_user%3A-29895&amp;curPageLogUid=7j4yCNQTzY2o&amp;utparam-url=scene%3Asearch%7Cquery_from%3A%7Cx_object_id%3A1005008665765518%7C_p_origin_prod%3A</t>
  </si>
  <si>
    <t>https://www.aliexpress.com/item/1005005708384626.html?spm=a2g0o.productlist.main.24.2437739fUODPJp&amp;algo_pvid=acf44d1e-890c-40d9-a763-bceba40ade61&amp;algo_exp_id=acf44d1e-890c-40d9-a763-bceba40ade61-24&amp;pdp_ext_f=%7B%22order%22%3A%227%22%2C%22eval%22%3A%221%22%2C%22fromPage%22%3A%22search%22%7D&amp;pdp_npi=6%40dis%21CZK%2115.30%2114.47%21%21%210.74%210.70%21%40211b813b17695947640564219e9a89%2112000034078378285%21sea%21CZ%210%21ABX%211%210%21n_tag%3A-29910%3Bd%3Aa7761a59%3Bm03_new_user%3A-29895&amp;curPageLogUid=PiP7Wl6k3sCg&amp;utparam-url=scene%3Asearch%7Cquery_from%3A%7Cx_object_id%3A1005005708384626%7C_p_origin_prod%3A#nav-review</t>
  </si>
  <si>
    <t>https://www.aliexpress.com/item/1005008828481165.html?spm=a2g0o.productlist.main.31.459a147fy9g9cr&amp;algo_pvid=2a6778c4-2d3d-40e4-86ae-992e4703980f&amp;algo_exp_id=2a6778c4-2d3d-40e4-86ae-992e4703980f-30&amp;pdp_ext_f=%7B%22order%22%3A%221865%22%2C%22spu_best_type%22%3A%22order%22%2C%22eval%22%3A%221%22%2C%22fromPage%22%3A%22search%22%7D&amp;pdp_npi=6%40dis%21CZK%2160.25%2125.63%21%21%2120.23%218.60%21%4021038e6617696001399471221e81fc%2112000046850083836%21sea%21CZ%210%21ABX%211%210%21n_tag%3A-29910%3Bd%3Aa7761a59%3Bm03_new_user%3A-29895%3BpisId%3A5000000197850290&amp;curPageLogUid=y4iimgSMjh1G&amp;utparam-url=scene%3Asearch%7Cquery_from%3A%7Cx_object_id%3A1005008828481165%7C_p_origin_prod%3A</t>
  </si>
  <si>
    <t>https://www.aliexpress.com/item/33013135045.html?spm=a2g0o.productlist.main.11.269d30b2rWq3Bm&amp;algo_pvid=984df6db-0cc9-48a5-8d02-2d174c63f344&amp;algo_exp_id=984df6db-0cc9-48a5-8d02-2d174c63f344-10&amp;pdp_ext_f=%7B%22order%22%3A%2215%22%2C%22eval%22%3A%221%22%2C%22fromPage%22%3A%22search%22%7D&amp;pdp_npi=6%40dis%21CZK%2124.19%2122.95%21%21%211.17%211.11%21%4021039a5b17696003879974133e82b4%2167163624141%21sea%21CZ%210%21ABX%211%210%21n_tag%3A-29910%3Bd%3Aa7761a59%3Bm03_new_user%3A-29895&amp;curPageLogUid=u8l4lrzx1Wlj&amp;utparam-url=scene%3Asearch%7Cquery_from%3A%7Cx_object_id%3A33013135045%7C_p_origin_prod%3A</t>
  </si>
  <si>
    <t>https://www.aliexpress.com/item/1005006273770955.html?spm=a2g0o.productlist.main.7.82d82969vbU3c4&amp;algo_pvid=7c7c301e-c151-488d-b6e8-6018537819a1&amp;algo_exp_id=7c7c301e-c151-488d-b6e8-6018537819a1-6&amp;pdp_ext_f=%7B%22order%22%3A%22197%22%2C%22eval%22%3A%221%22%2C%22fromPage%22%3A%22search%22%7D&amp;pdp_npi=6%40dis%21CZK%21132.03%21101.01%21%21%2144.33%2133.91%21%40210384b917696004642094923e13f4%2112000036562465112%21sea%21CZ%210%21ABX%211%210%21n_tag%3A-29910%3Bd%3Aa7761a59%3Bm03_new_user%3A-29895%3BpisId%3A5000000197850290&amp;curPageLogUid=gr9qYfyRVKNO&amp;utparam-url=scene%3Asearch%7Cquery_from%3A%7Cx_object_id%3A1005006273770955%7C_p_origin_prod%3A</t>
  </si>
  <si>
    <t>https://www.aliexpress.com/item/1005008112811521.html?spm=a2g0o.productlist.main.7.10cb5ulN5ulN5u&amp;algo_pvid=081eace6-6a49-46d2-bf28-6319c30dd6c6&amp;algo_exp_id=081eace6-6a49-46d2-bf28-6319c30dd6c6-6&amp;pdp_ext_f=%7B%22order%22%3A%22244%22%2C%22spu_best_type%22%3A%22order%22%2C%22eval%22%3A%221%22%2C%22fromPage%22%3A%22search%22%7D&amp;pdp_npi=6%40dis%21CZK%213968.33%211220.98%21%21%211332.37%21409.95%21%402103868817696008024145097e8aca%2112000043913154633%21sea%21CZ%210%21ABX%211%210%21n_tag%3A-29910%3Bd%3Aa7761a59%3Bm03_new_user%3A-29895%3BpisId%3A5000000200301737&amp;curPageLogUid=hPUdJsAwTCap&amp;utparam-url=scene%3Asearch%7Cquery_from%3A%7Cx_object_id%3A1005008112811521%7C_p_origin_prod%3A</t>
  </si>
  <si>
    <t>https://www.aliexpress.com/item/1005007815269811.html?spm=a2g0o.productlist.main.10.57b9RBezRBezaJ&amp;algo_pvid=4a6436c0-63f7-406b-9190-7fe704b88d38&amp;algo_exp_id=4a6436c0-63f7-406b-9190-7fe704b88d38-9&amp;pdp_ext_f=%7B%22order%22%3A%2243%22%2C%22spu_best_type%22%3A%22price%22%2C%22eval%22%3A%221%22%2C%22fromPage%22%3A%22search%22%7D&amp;pdp_npi=6%40dis%21CZK%21285.57%2189.62%21%21%2195.88%2130.09%21%402103890117696011501138478ed93d%2112000042305106184%21sea%21CZ%210%21ABX%211%210%21n_tag%3A-29910%3Bd%3Aa7761a59%3Bm03_new_user%3A-29895%3BpisId%3A5000000197850256&amp;curPageLogUid=JRsfSUwIynfd&amp;utparam-url=scene%3Asearch%7Cquery_from%3A%7Cx_object_id%3A1005007815269811%7C_p_origin_prod%3A</t>
  </si>
  <si>
    <t>https://www.aliexpress.com/item/1005010751341085.html?spm=a2g0o.productlist.main.1.7e520BHN0BHNZ2&amp;algo_pvid=c9e8a1a8-2294-47d7-bd00-ae5560521d68&amp;algo_exp_id=c9e8a1a8-2294-47d7-bd00-ae5560521d68-0&amp;pdp_ext_f=%7B%22order%22%3A%228%22%2C%22eval%22%3A%221%22%2C%22fromPage%22%3A%22search%22%7D&amp;pdp_npi=6%40dis%21CZK%2129.69%2126.71%21%21%219.97%218.97%21%4021038e6617696012597713572e81cd%2112000053393120684%21sea%21CZ%210%21ABX%211%210%21n_tag%3A-29910%3Bd%3Aa7761a59%3Bm03_new_user%3A-29895&amp;curPageLogUid=25bR6p9ECZ5N&amp;utparam-url=scene%3Asearch%7Cquery_from%3A%7Cx_object_id%3A1005010751341085%7C_p_origin_prod%3A</t>
  </si>
  <si>
    <t>https://www.aliexpress.com/item/1005007287720647.html?spm=a2g0o.productlist.main.12.6e037adcq0EqIN&amp;aem_p4p_detail=202601282309343573866000208020001115327&amp;algo_pvid=a942b711-6e6e-4ac6-b398-1ec073fe6b54&amp;algo_exp_id=a942b711-6e6e-4ac6-b398-1ec073fe6b54-11&amp;pdp_ext_f=%7B%22order%22%3A%221595%22%2C%22eval%22%3A%221%22%2C%22fromPage%22%3A%22search%22%7D&amp;pdp_npi=6%40dis%21CZK%2145.69%2120.59%21%21%2115.26%216.88%21%402103835c17696705741522439ee974%2112000040075710756%21sea%21CZ%210%21ABX%211%210%21n_tag%3A-29910%3Bd%3Aa7761a59%3Bm03_new_user%3A-29895%3BpisId%3A5000000197850290&amp;curPageLogUid=DZ5sef9VbWXx&amp;utparam-url=scene%3Asearch%7Cquery_from%3A%7Cx_object_id%3A1005007287720647%7C_p_origin_prod%3A&amp;search_p4p_id=202601282309343573866000208020001115327_3</t>
  </si>
  <si>
    <t>https://www.aliexpress.com/item/1005010109669241.html?spm=a2g0o.productlist.main.7.a4be1132HLZpTz&amp;algo_pvid=10c115dd-ffa6-425b-9a68-a6672a77aa8b&amp;algo_exp_id=10c115dd-ffa6-425b-9a68-a6672a77aa8b-6&amp;pdp_ext_f=%7B%22order%22%3A%22272%22%2C%22eval%22%3A%221%22%2C%22orig_sl_item_id%22%3A%221005010109669241%22%2C%22orig_item_id%22%3A%221005008611066572%22%2C%22fromPage%22%3A%22search%22%7D&amp;pdp_npi=6%40dis%21CZK%21761.48%21319.10%21%21%21254.32%21106.57%21%40210391a017696712100561737eeaa5%2112000051179049254%21sea%21CZ%210%21ABX%211%210%21n_tag%3A-29910%3Bd%3Aa7761a59%3Bm03_new_user%3A-29895%3BpisId%3A5000000197850290&amp;curPageLogUid=1LqJKDd9jMzW&amp;utparam-url=scene%3Asearch%7Cquery_from%3A%7Cx_object_id%3A1005010109669241%7C_p_origin_prod%3A1005008611066572</t>
  </si>
  <si>
    <t>https://www.aliexpress.com/item/1005002605977032.html?spm=a2g0o.productlist.main.26.5dcd52a8t6KHuE&amp;algo_pvid=5cdb361f-9ed5-4e27-bb98-69712388d9cb&amp;algo_exp_id=5cdb361f-9ed5-4e27-bb98-69712388d9cb-25&amp;pdp_ext_f=%7B%22order%22%3A%223647%22%2C%22spu_best_type%22%3A%22order%22%2C%22eval%22%3A%221%22%2C%22fromPage%22%3A%22search%22%7D&amp;pdp_npi=6%40dis%21CZK%2165.51%2134.32%21%21%213.15%211.65%21%40211b61d017696719507916646e9f14%2112000021366011101%21sea%21CZ%210%21ABX%211%210%21n_tag%3A-29910%3Bd%3Aa7761a59%3Bm03_new_user%3A-29895%3BpisId%3A5000000197850290&amp;curPageLogUid=Ums8pOa3d33m&amp;utparam-url=scene%3Asearch%7Cquery_from%3A%7Cx_object_id%3A1005002605977032%7C_p_origin_prod%3A</t>
  </si>
  <si>
    <t>Rezistory 330R 0,25W</t>
  </si>
  <si>
    <t>Odečtení daní</t>
  </si>
  <si>
    <t>Seznam nákupů surovin</t>
  </si>
  <si>
    <t>Cena</t>
  </si>
  <si>
    <t>Datum</t>
  </si>
  <si>
    <t>PCB 5ks</t>
  </si>
  <si>
    <t>Investice /2</t>
  </si>
  <si>
    <t>Mikropájka a lišta</t>
  </si>
  <si>
    <t>Faktury</t>
  </si>
  <si>
    <t>https://d.docs.live.net/5bfe2883faedf2c4/Desktop/dash%20cluster/ucetnictvi/faktury%20prichozi/27012026_JLCpcb.pdf</t>
  </si>
  <si>
    <t>https://d.docs.live.net/5bfe2883faedf2c4/Desktop/dash%20cluster/ucetnictvi/faktury%20prichozi/09022026_LaskaKit.pdf</t>
  </si>
  <si>
    <t>https://www.aliexpress.com/item/1005010602220172.html?spm=a2g0o.order_list.order_list_main.5.21ef1802AJAb2b</t>
  </si>
  <si>
    <t>https://www.aliexpress.com/item/1005010370389462.html?spm=a2g0o.order_list.order_list_main.15.21ef1802AJAb2b</t>
  </si>
  <si>
    <t>https://www.aliexpress.com/item/1005009248569656.html?spm=a2g0o.order_list.order_list_main.25.21ef1802AJAb2b</t>
  </si>
  <si>
    <t>https://www.aliexpress.com/item/1005009321343937.html?spm=a2g0o.order_list.order_list_main.20.21ef1802AJAb2b</t>
  </si>
  <si>
    <t>https://www.aliexpress.com/item/1005005550328893.html?spm=a2g0o.order_list.order_list_main.10.21ef1802AJAb2b</t>
  </si>
  <si>
    <t>Elektrolytický k.</t>
  </si>
  <si>
    <t>https://d.docs.live.net/5bfe2883faedf2c4/Desktop/dash%20cluster/ucetnictvi/faktury%20prichozi/25v1000ufC_aliexpress.png</t>
  </si>
  <si>
    <t>Black Switche</t>
  </si>
  <si>
    <t>https://d.docs.live.net/5bfe2883faedf2c4/Desktop/dash%20cluster/ucetnictvi/faktury%20prichozi/blackswitch_aliexpress.png</t>
  </si>
  <si>
    <t>Keramický k.</t>
  </si>
  <si>
    <t>https://d.docs.live.net/5bfe2883faedf2c4/Desktop/dash%20cluster/ucetnictvi/faktury%20prichozi/50v100nfC_aliexpress.png</t>
  </si>
  <si>
    <t>WS2812B</t>
  </si>
  <si>
    <t>Investice</t>
  </si>
  <si>
    <t>https://d.docs.live.net/5bfe2883faedf2c4/Desktop/dash%20cluster/ucetnictvi/faktury%20prichozi/ws2812b5vDC_aliexpress.png</t>
  </si>
  <si>
    <t>https://d.docs.live.net/5bfe2883faedf2c4/Desktop/dash%20cluster/ucetnictvi/faktury%20prichozi/30values330R0.25W_aliexpress.png</t>
  </si>
  <si>
    <t>Na skladě připraveno pro výrobu</t>
  </si>
  <si>
    <t>Komponenty</t>
  </si>
  <si>
    <t>Cena/ks</t>
  </si>
  <si>
    <t>Cena celkem</t>
  </si>
  <si>
    <t>Lze vyrobit ks</t>
  </si>
  <si>
    <t>Hodnota skladu</t>
  </si>
  <si>
    <t>Na hranici</t>
  </si>
  <si>
    <t>Potřeba na 1 výr.</t>
  </si>
  <si>
    <t>Na skladě</t>
  </si>
  <si>
    <t>Potřeba dokoupit ks</t>
  </si>
  <si>
    <t>Zaplaceno</t>
  </si>
  <si>
    <t>Bartonis</t>
  </si>
  <si>
    <t>Anty</t>
  </si>
  <si>
    <t>Vyrovnáno</t>
  </si>
  <si>
    <t>Čeká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</si>
</sst>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Kč&quot;"/>
    <numFmt numFmtId="165" formatCode="0&quot; ks&quot;"/>
    <numFmt numFmtId="166" formatCode="0&quot; g&quot;"/>
    <numFmt numFmtId="167" formatCode="0&quot;. září&quot;"/>
    <numFmt numFmtId="168" formatCode="0&quot;. října&quot;"/>
    <numFmt numFmtId="169" formatCode="0&quot;. listopadu&quot;"/>
    <numFmt numFmtId="170" formatCode="0&quot;. prosince&quot;"/>
    <numFmt numFmtId="171" formatCode="dd/mm/yy;@"/>
  </numFmts>
  <fonts count="9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Display"/>
      <family val="2"/>
      <charset val="238"/>
      <scheme val="major"/>
    </font>
    <font>
      <sz val="8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4">
    <xf numFmtId="0" fontId="0" fillId="0" borderId="0" xfId="0"/>
    <xf numFmtId="0" fontId="0" fillId="2" borderId="13" xfId="0" applyFill="1" applyBorder="1"/>
    <xf numFmtId="0" fontId="0" fillId="2" borderId="14" xfId="0" applyFill="1" applyBorder="1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4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17" xfId="0" applyFill="1" applyBorder="1"/>
    <xf numFmtId="0" fontId="0" fillId="2" borderId="2" xfId="0" applyFill="1" applyBorder="1"/>
    <xf numFmtId="164" fontId="0" fillId="0" borderId="16" xfId="0" applyNumberFormat="1" applyBorder="1"/>
    <xf numFmtId="164" fontId="0" fillId="0" borderId="17" xfId="0" applyNumberFormat="1" applyBorder="1"/>
    <xf numFmtId="164" fontId="0" fillId="0" borderId="27" xfId="0" applyNumberFormat="1" applyBorder="1"/>
    <xf numFmtId="164" fontId="0" fillId="0" borderId="18" xfId="0" applyNumberFormat="1" applyBorder="1"/>
    <xf numFmtId="165" fontId="0" fillId="0" borderId="13" xfId="0" applyNumberFormat="1" applyBorder="1"/>
    <xf numFmtId="165" fontId="0" fillId="0" borderId="30" xfId="0" applyNumberFormat="1" applyBorder="1"/>
    <xf numFmtId="166" fontId="0" fillId="0" borderId="13" xfId="0" applyNumberFormat="1" applyBorder="1"/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/>
    <xf numFmtId="164" fontId="0" fillId="2" borderId="19" xfId="0" applyNumberFormat="1" applyFill="1" applyBorder="1"/>
    <xf numFmtId="165" fontId="0" fillId="2" borderId="2" xfId="0" applyNumberFormat="1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1" xfId="0" applyFill="1" applyBorder="1"/>
    <xf numFmtId="164" fontId="1" fillId="5" borderId="2" xfId="0" applyNumberFormat="1" applyFont="1" applyFill="1" applyBorder="1"/>
    <xf numFmtId="0" fontId="0" fillId="6" borderId="0" xfId="0" applyFill="1"/>
    <xf numFmtId="0" fontId="0" fillId="6" borderId="32" xfId="0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164" fontId="0" fillId="11" borderId="2" xfId="0" applyNumberFormat="1" applyFill="1" applyBorder="1"/>
    <xf numFmtId="0" fontId="0" fillId="0" borderId="2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0" borderId="0" xfId="0" applyAlignment="1">
      <alignment horizontal="left"/>
    </xf>
    <xf numFmtId="164" fontId="0" fillId="11" borderId="16" xfId="0" applyNumberFormat="1" applyFill="1" applyBorder="1"/>
    <xf numFmtId="0" fontId="0" fillId="0" borderId="38" xfId="0" applyBorder="1"/>
    <xf numFmtId="0" fontId="0" fillId="3" borderId="19" xfId="0" applyFill="1" applyBorder="1" applyAlignment="1">
      <alignment horizontal="center" vertical="center"/>
    </xf>
    <xf numFmtId="0" fontId="0" fillId="0" borderId="19" xfId="0" applyBorder="1"/>
    <xf numFmtId="0" fontId="0" fillId="0" borderId="39" xfId="0" applyBorder="1"/>
    <xf numFmtId="0" fontId="0" fillId="2" borderId="34" xfId="0" applyFill="1" applyBorder="1"/>
    <xf numFmtId="0" fontId="0" fillId="2" borderId="25" xfId="0" applyFill="1" applyBorder="1"/>
    <xf numFmtId="0" fontId="0" fillId="2" borderId="40" xfId="0" applyFill="1" applyBorder="1"/>
    <xf numFmtId="0" fontId="0" fillId="2" borderId="36" xfId="0" applyFill="1" applyBorder="1" applyAlignment="1">
      <alignment horizontal="center" vertical="center"/>
    </xf>
    <xf numFmtId="0" fontId="0" fillId="0" borderId="5" xfId="0" applyBorder="1"/>
    <xf numFmtId="0" fontId="0" fillId="0" borderId="46" xfId="0" applyBorder="1"/>
    <xf numFmtId="0" fontId="0" fillId="0" borderId="2" xfId="0" applyBorder="1" applyAlignment="1">
      <alignment horizontal="left"/>
    </xf>
    <xf numFmtId="164" fontId="0" fillId="0" borderId="44" xfId="0" applyNumberFormat="1" applyBorder="1"/>
    <xf numFmtId="0" fontId="0" fillId="2" borderId="34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0" borderId="50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0" fillId="0" borderId="40" xfId="0" applyBorder="1" applyAlignment="1">
      <alignment horizontal="left"/>
    </xf>
    <xf numFmtId="164" fontId="0" fillId="0" borderId="41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5" fontId="0" fillId="0" borderId="4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4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/>
    <xf numFmtId="0" fontId="0" fillId="0" borderId="5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4" fontId="0" fillId="12" borderId="38" xfId="0" applyNumberFormat="1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center" vertical="center"/>
    </xf>
    <xf numFmtId="0" fontId="0" fillId="0" borderId="34" xfId="0" applyBorder="1" applyAlignment="1">
      <alignment horizontal="left"/>
    </xf>
    <xf numFmtId="164" fontId="0" fillId="0" borderId="49" xfId="0" applyNumberFormat="1" applyBorder="1" applyAlignment="1">
      <alignment horizontal="center" vertical="center"/>
    </xf>
    <xf numFmtId="164" fontId="0" fillId="0" borderId="47" xfId="0" applyNumberFormat="1" applyBorder="1"/>
    <xf numFmtId="0" fontId="0" fillId="0" borderId="47" xfId="0" applyBorder="1" applyAlignment="1">
      <alignment horizontal="center" vertical="center"/>
    </xf>
    <xf numFmtId="165" fontId="0" fillId="0" borderId="48" xfId="0" applyNumberFormat="1" applyBorder="1" applyAlignment="1">
      <alignment horizontal="center" vertical="center"/>
    </xf>
    <xf numFmtId="167" fontId="0" fillId="0" borderId="32" xfId="0" applyNumberFormat="1" applyBorder="1" applyAlignment="1">
      <alignment horizontal="left"/>
    </xf>
    <xf numFmtId="168" fontId="0" fillId="0" borderId="32" xfId="0" applyNumberFormat="1" applyBorder="1" applyAlignment="1">
      <alignment horizontal="left"/>
    </xf>
    <xf numFmtId="169" fontId="0" fillId="0" borderId="32" xfId="0" applyNumberFormat="1" applyBorder="1" applyAlignment="1">
      <alignment horizontal="left"/>
    </xf>
    <xf numFmtId="170" fontId="0" fillId="0" borderId="32" xfId="0" applyNumberFormat="1" applyBorder="1" applyAlignment="1">
      <alignment horizontal="left"/>
    </xf>
    <xf numFmtId="170" fontId="0" fillId="0" borderId="2" xfId="0" applyNumberFormat="1" applyBorder="1" applyAlignment="1">
      <alignment horizontal="left"/>
    </xf>
    <xf numFmtId="168" fontId="0" fillId="0" borderId="2" xfId="0" applyNumberFormat="1" applyBorder="1" applyAlignment="1">
      <alignment horizontal="left"/>
    </xf>
    <xf numFmtId="164" fontId="0" fillId="12" borderId="13" xfId="0" applyNumberFormat="1" applyFill="1" applyBorder="1" applyAlignment="1">
      <alignment horizontal="center" vertical="center"/>
    </xf>
    <xf numFmtId="164" fontId="0" fillId="12" borderId="32" xfId="0" applyNumberFormat="1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5" borderId="39" xfId="0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164" fontId="4" fillId="16" borderId="13" xfId="0" applyNumberFormat="1" applyFont="1" applyFill="1" applyBorder="1" applyAlignment="1">
      <alignment horizontal="center" vertical="center"/>
    </xf>
    <xf numFmtId="164" fontId="4" fillId="16" borderId="14" xfId="0" applyNumberFormat="1" applyFont="1" applyFill="1" applyBorder="1" applyAlignment="1">
      <alignment horizontal="center" vertical="center"/>
    </xf>
    <xf numFmtId="164" fontId="4" fillId="16" borderId="15" xfId="0" applyNumberFormat="1" applyFont="1" applyFill="1" applyBorder="1" applyAlignment="1">
      <alignment horizontal="center" vertical="center"/>
    </xf>
    <xf numFmtId="14" fontId="0" fillId="16" borderId="21" xfId="0" applyNumberFormat="1" applyFill="1" applyBorder="1" applyAlignment="1">
      <alignment horizontal="center" vertical="center"/>
    </xf>
    <xf numFmtId="14" fontId="0" fillId="16" borderId="24" xfId="0" applyNumberFormat="1" applyFill="1" applyBorder="1" applyAlignment="1">
      <alignment horizontal="center" vertical="center"/>
    </xf>
    <xf numFmtId="14" fontId="0" fillId="16" borderId="28" xfId="0" applyNumberFormat="1" applyFill="1" applyBorder="1" applyAlignment="1">
      <alignment horizontal="center" vertical="center"/>
    </xf>
    <xf numFmtId="0" fontId="0" fillId="15" borderId="40" xfId="0" applyFill="1" applyBorder="1"/>
    <xf numFmtId="164" fontId="0" fillId="0" borderId="0" xfId="0" applyNumberFormat="1"/>
    <xf numFmtId="0" fontId="4" fillId="15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164" fontId="0" fillId="0" borderId="42" xfId="0" applyNumberFormat="1" applyBorder="1"/>
    <xf numFmtId="164" fontId="0" fillId="0" borderId="43" xfId="0" applyNumberFormat="1" applyBorder="1"/>
    <xf numFmtId="164" fontId="0" fillId="0" borderId="53" xfId="0" applyNumberFormat="1" applyBorder="1"/>
    <xf numFmtId="164" fontId="0" fillId="0" borderId="58" xfId="0" applyNumberFormat="1" applyBorder="1"/>
    <xf numFmtId="165" fontId="2" fillId="5" borderId="16" xfId="0" applyNumberFormat="1" applyFont="1" applyFill="1" applyBorder="1"/>
    <xf numFmtId="165" fontId="2" fillId="5" borderId="17" xfId="0" applyNumberFormat="1" applyFont="1" applyFill="1" applyBorder="1"/>
    <xf numFmtId="166" fontId="2" fillId="5" borderId="17" xfId="0" applyNumberFormat="1" applyFont="1" applyFill="1" applyBorder="1"/>
    <xf numFmtId="165" fontId="2" fillId="5" borderId="18" xfId="0" applyNumberFormat="1" applyFont="1" applyFill="1" applyBorder="1"/>
    <xf numFmtId="164" fontId="0" fillId="0" borderId="59" xfId="0" applyNumberFormat="1" applyBorder="1"/>
    <xf numFmtId="164" fontId="0" fillId="0" borderId="45" xfId="0" applyNumberFormat="1" applyBorder="1"/>
    <xf numFmtId="164" fontId="0" fillId="0" borderId="60" xfId="0" applyNumberFormat="1" applyBorder="1"/>
    <xf numFmtId="164" fontId="0" fillId="0" borderId="61" xfId="0" applyNumberFormat="1" applyBorder="1"/>
    <xf numFmtId="0" fontId="1" fillId="7" borderId="36" xfId="0" applyFont="1" applyFill="1" applyBorder="1" applyAlignment="1">
      <alignment horizontal="center" vertical="center"/>
    </xf>
    <xf numFmtId="171" fontId="0" fillId="17" borderId="62" xfId="0" applyNumberFormat="1" applyFill="1" applyBorder="1"/>
    <xf numFmtId="171" fontId="0" fillId="17" borderId="62" xfId="0" applyNumberFormat="1" applyFill="1" applyBorder="1" applyAlignment="1">
      <alignment horizontal="center" vertical="center"/>
    </xf>
    <xf numFmtId="171" fontId="0" fillId="17" borderId="42" xfId="0" applyNumberFormat="1" applyFill="1" applyBorder="1" applyAlignment="1">
      <alignment horizontal="center" vertical="center"/>
    </xf>
    <xf numFmtId="164" fontId="1" fillId="3" borderId="24" xfId="0" applyNumberFormat="1" applyFont="1" applyFill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0" fillId="12" borderId="34" xfId="0" applyFill="1" applyBorder="1" applyAlignment="1">
      <alignment horizontal="left" vertical="center"/>
    </xf>
    <xf numFmtId="0" fontId="0" fillId="12" borderId="20" xfId="0" applyFill="1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14" fontId="0" fillId="6" borderId="33" xfId="0" applyNumberFormat="1" applyFill="1" applyBorder="1" applyAlignment="1">
      <alignment horizontal="left" vertical="center"/>
    </xf>
    <xf numFmtId="14" fontId="0" fillId="6" borderId="19" xfId="0" applyNumberFormat="1" applyFill="1" applyBorder="1" applyAlignment="1">
      <alignment horizontal="left" vertical="center"/>
    </xf>
    <xf numFmtId="0" fontId="0" fillId="12" borderId="33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10" fontId="0" fillId="2" borderId="33" xfId="0" applyNumberFormat="1" applyFill="1" applyBorder="1" applyAlignment="1">
      <alignment horizontal="center"/>
    </xf>
    <xf numFmtId="10" fontId="0" fillId="2" borderId="19" xfId="0" applyNumberFormat="1" applyFill="1" applyBorder="1" applyAlignment="1">
      <alignment horizontal="center"/>
    </xf>
    <xf numFmtId="0" fontId="1" fillId="12" borderId="32" xfId="0" applyFont="1" applyFill="1" applyBorder="1" applyAlignment="1">
      <alignment horizontal="center"/>
    </xf>
    <xf numFmtId="0" fontId="1" fillId="12" borderId="33" xfId="0" applyFont="1" applyFill="1" applyBorder="1" applyAlignment="1">
      <alignment horizontal="center"/>
    </xf>
    <xf numFmtId="0" fontId="1" fillId="13" borderId="34" xfId="0" applyFont="1" applyFill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0" fontId="1" fillId="13" borderId="35" xfId="0" applyFont="1" applyFill="1" applyBorder="1" applyAlignment="1">
      <alignment horizontal="center"/>
    </xf>
    <xf numFmtId="164" fontId="0" fillId="15" borderId="21" xfId="0" applyNumberFormat="1" applyFill="1" applyBorder="1" applyAlignment="1">
      <alignment horizontal="center"/>
    </xf>
    <xf numFmtId="164" fontId="0" fillId="15" borderId="23" xfId="0" applyNumberFormat="1" applyFill="1" applyBorder="1" applyAlignment="1">
      <alignment horizontal="center"/>
    </xf>
    <xf numFmtId="0" fontId="1" fillId="10" borderId="32" xfId="0" applyFont="1" applyFill="1" applyBorder="1" applyAlignment="1">
      <alignment horizontal="center"/>
    </xf>
    <xf numFmtId="0" fontId="1" fillId="10" borderId="33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164" fontId="3" fillId="2" borderId="32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4" fillId="8" borderId="32" xfId="0" applyNumberFormat="1" applyFont="1" applyFill="1" applyBorder="1" applyAlignment="1">
      <alignment horizontal="center" vertical="center"/>
    </xf>
    <xf numFmtId="164" fontId="4" fillId="8" borderId="19" xfId="0" applyNumberFormat="1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/>
    </xf>
    <xf numFmtId="0" fontId="0" fillId="14" borderId="32" xfId="0" applyFill="1" applyBorder="1" applyAlignment="1">
      <alignment horizontal="center"/>
    </xf>
    <xf numFmtId="0" fontId="0" fillId="14" borderId="33" xfId="0" applyFill="1" applyBorder="1" applyAlignment="1">
      <alignment horizontal="center"/>
    </xf>
    <xf numFmtId="0" fontId="0" fillId="14" borderId="19" xfId="0" applyFill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3" fillId="12" borderId="33" xfId="0" applyFont="1" applyFill="1" applyBorder="1" applyAlignment="1">
      <alignment horizontal="center" vertical="center"/>
    </xf>
    <xf numFmtId="0" fontId="3" fillId="12" borderId="19" xfId="0" applyFon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0" fontId="1" fillId="12" borderId="32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164" fontId="6" fillId="8" borderId="32" xfId="0" applyNumberFormat="1" applyFont="1" applyFill="1" applyBorder="1" applyAlignment="1">
      <alignment horizontal="center" vertical="center"/>
    </xf>
    <xf numFmtId="164" fontId="6" fillId="8" borderId="19" xfId="0" applyNumberFormat="1" applyFont="1" applyFill="1" applyBorder="1" applyAlignment="1">
      <alignment horizontal="center" vertical="center"/>
    </xf>
    <xf numFmtId="10" fontId="0" fillId="2" borderId="32" xfId="0" applyNumberFormat="1" applyFill="1" applyBorder="1" applyAlignment="1">
      <alignment horizontal="center"/>
    </xf>
    <xf numFmtId="0" fontId="3" fillId="12" borderId="32" xfId="0" applyFont="1" applyFill="1" applyBorder="1" applyAlignment="1">
      <alignment horizontal="center" vertical="center"/>
    </xf>
    <xf numFmtId="164" fontId="0" fillId="15" borderId="28" xfId="0" applyNumberFormat="1" applyFill="1" applyBorder="1" applyAlignment="1">
      <alignment horizontal="center"/>
    </xf>
    <xf numFmtId="164" fontId="0" fillId="15" borderId="12" xfId="0" applyNumberFormat="1" applyFill="1" applyBorder="1" applyAlignment="1">
      <alignment horizontal="center"/>
    </xf>
    <xf numFmtId="164" fontId="4" fillId="15" borderId="7" xfId="0" applyNumberFormat="1" applyFont="1" applyFill="1" applyBorder="1" applyAlignment="1">
      <alignment horizontal="center"/>
    </xf>
    <xf numFmtId="164" fontId="4" fillId="15" borderId="9" xfId="0" applyNumberFormat="1" applyFont="1" applyFill="1" applyBorder="1" applyAlignment="1">
      <alignment horizontal="center"/>
    </xf>
    <xf numFmtId="164" fontId="0" fillId="15" borderId="32" xfId="0" applyNumberFormat="1" applyFill="1" applyBorder="1" applyAlignment="1">
      <alignment horizontal="center"/>
    </xf>
    <xf numFmtId="164" fontId="0" fillId="15" borderId="19" xfId="0" applyNumberFormat="1" applyFill="1" applyBorder="1" applyAlignment="1">
      <alignment horizontal="center"/>
    </xf>
    <xf numFmtId="165" fontId="0" fillId="15" borderId="28" xfId="0" applyNumberFormat="1" applyFill="1" applyBorder="1" applyAlignment="1">
      <alignment horizontal="center"/>
    </xf>
    <xf numFmtId="165" fontId="0" fillId="15" borderId="12" xfId="0" applyNumberFormat="1" applyFill="1" applyBorder="1" applyAlignment="1">
      <alignment horizontal="center"/>
    </xf>
    <xf numFmtId="0" fontId="0" fillId="15" borderId="54" xfId="0" applyFill="1" applyBorder="1" applyAlignment="1">
      <alignment horizontal="center" vertical="center"/>
    </xf>
    <xf numFmtId="0" fontId="0" fillId="15" borderId="55" xfId="0" applyFill="1" applyBorder="1" applyAlignment="1">
      <alignment horizontal="center" vertical="center"/>
    </xf>
    <xf numFmtId="0" fontId="0" fillId="11" borderId="41" xfId="0" applyFill="1" applyBorder="1" applyAlignment="1">
      <alignment horizontal="center" vertical="center"/>
    </xf>
    <xf numFmtId="0" fontId="0" fillId="11" borderId="4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164" fontId="4" fillId="16" borderId="32" xfId="0" applyNumberFormat="1" applyFont="1" applyFill="1" applyBorder="1" applyAlignment="1">
      <alignment horizontal="center"/>
    </xf>
    <xf numFmtId="164" fontId="4" fillId="16" borderId="19" xfId="0" applyNumberFormat="1" applyFont="1" applyFill="1" applyBorder="1" applyAlignment="1">
      <alignment horizontal="center"/>
    </xf>
    <xf numFmtId="0" fontId="0" fillId="11" borderId="4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5" fillId="16" borderId="52" xfId="1" applyFill="1" applyBorder="1" applyAlignment="1">
      <alignment horizontal="center" vertical="center"/>
    </xf>
    <xf numFmtId="0" fontId="5" fillId="16" borderId="53" xfId="1" applyFill="1" applyBorder="1" applyAlignment="1">
      <alignment horizontal="center" vertical="center"/>
    </xf>
    <xf numFmtId="0" fontId="5" fillId="16" borderId="3" xfId="1" applyFill="1" applyBorder="1" applyAlignment="1">
      <alignment horizontal="center" vertical="center"/>
    </xf>
    <xf numFmtId="0" fontId="5" fillId="16" borderId="43" xfId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43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4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43" xfId="0" applyNumberFormat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7" borderId="56" xfId="0" applyFont="1" applyFill="1" applyBorder="1" applyAlignment="1">
      <alignment horizontal="center" vertical="center"/>
    </xf>
    <xf numFmtId="0" fontId="1" fillId="7" borderId="5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24" xfId="0" applyBorder="1" applyAlignment="1">
      <alignment horizontal="left"/>
    </xf>
    <xf numFmtId="0" fontId="0" fillId="0" borderId="14" xfId="0" applyBorder="1" applyAlignment="1">
      <alignment horizontal="left"/>
    </xf>
    <xf numFmtId="0" fontId="8" fillId="14" borderId="34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33" xfId="0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/>
    </xf>
    <xf numFmtId="164" fontId="1" fillId="5" borderId="33" xfId="0" applyNumberFormat="1" applyFont="1" applyFill="1" applyBorder="1" applyAlignment="1">
      <alignment horizontal="center"/>
    </xf>
    <xf numFmtId="165" fontId="0" fillId="0" borderId="41" xfId="0" applyNumberFormat="1" applyBorder="1" applyAlignment="1">
      <alignment horizontal="center"/>
    </xf>
    <xf numFmtId="165" fontId="0" fillId="0" borderId="42" xfId="0" applyNumberFormat="1" applyBorder="1" applyAlignment="1">
      <alignment horizontal="center"/>
    </xf>
    <xf numFmtId="0" fontId="1" fillId="17" borderId="32" xfId="0" applyFont="1" applyFill="1" applyBorder="1" applyAlignment="1">
      <alignment horizontal="center" vertical="center"/>
    </xf>
    <xf numFmtId="0" fontId="1" fillId="17" borderId="19" xfId="0" applyFont="1" applyFill="1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1" fillId="9" borderId="32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0" fillId="3" borderId="32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10" fontId="0" fillId="11" borderId="33" xfId="0" applyNumberFormat="1" applyFill="1" applyBorder="1" applyAlignment="1">
      <alignment horizontal="center"/>
    </xf>
    <xf numFmtId="10" fontId="0" fillId="11" borderId="19" xfId="0" applyNumberFormat="1" applyFill="1" applyBorder="1" applyAlignment="1">
      <alignment horizontal="center"/>
    </xf>
    <xf numFmtId="10" fontId="0" fillId="11" borderId="32" xfId="0" applyNumberFormat="1" applyFill="1" applyBorder="1" applyAlignment="1">
      <alignment horizontal="center"/>
    </xf>
    <xf numFmtId="0" fontId="3" fillId="9" borderId="32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164" fontId="3" fillId="7" borderId="32" xfId="0" applyNumberFormat="1" applyFont="1" applyFill="1" applyBorder="1" applyAlignment="1">
      <alignment horizontal="right" vertical="center"/>
    </xf>
    <xf numFmtId="0" fontId="3" fillId="7" borderId="19" xfId="0" applyFont="1" applyFill="1" applyBorder="1" applyAlignment="1">
      <alignment horizontal="right" vertical="center"/>
    </xf>
    <xf numFmtId="164" fontId="1" fillId="7" borderId="32" xfId="0" applyNumberFormat="1" applyFont="1" applyFill="1" applyBorder="1" applyAlignment="1">
      <alignment horizontal="right" vertical="center"/>
    </xf>
    <xf numFmtId="0" fontId="1" fillId="7" borderId="19" xfId="0" applyFont="1" applyFill="1" applyBorder="1" applyAlignment="1">
      <alignment horizontal="right" vertical="center"/>
    </xf>
    <xf numFmtId="0" fontId="2" fillId="4" borderId="34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5" fillId="0" borderId="21" xfId="1" applyBorder="1" applyAlignment="1">
      <alignment horizontal="center"/>
    </xf>
    <xf numFmtId="0" fontId="5" fillId="0" borderId="24" xfId="1" applyBorder="1" applyAlignment="1">
      <alignment horizontal="center"/>
    </xf>
    <xf numFmtId="0" fontId="1" fillId="9" borderId="32" xfId="0" applyFont="1" applyFill="1" applyBorder="1" applyAlignment="1">
      <alignment horizontal="center"/>
    </xf>
    <xf numFmtId="0" fontId="1" fillId="9" borderId="33" xfId="0" applyFont="1" applyFill="1" applyBorder="1" applyAlignment="1">
      <alignment horizontal="center"/>
    </xf>
    <xf numFmtId="0" fontId="5" fillId="0" borderId="24" xfId="1" applyBorder="1" applyAlignment="1">
      <alignment horizontal="center" wrapText="1"/>
    </xf>
    <xf numFmtId="0" fontId="1" fillId="0" borderId="2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4" fontId="0" fillId="15" borderId="7" xfId="0" applyNumberFormat="1" applyFill="1" applyBorder="1" applyAlignment="1">
      <alignment horizontal="center"/>
    </xf>
    <xf numFmtId="164" fontId="0" fillId="15" borderId="9" xfId="0" applyNumberFormat="1" applyFill="1" applyBorder="1" applyAlignment="1">
      <alignment horizontal="center"/>
    </xf>
  </cellXfs>
  <cellStyles count="2">
    <cellStyle name="Hypertextový odkaz" xfId="1" builtinId="8"/>
    <cellStyle name="Normální" xfId="0" builtinId="0"/>
  </cellStyles>
  <dxfs count="25"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2FFF34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48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480000"/>
      <color rgb="FFFF0000"/>
      <color rgb="FF2FFF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liexpress.com/item/1005010602220172.html?spm=a2g0o.order_list.order_list_main.5.21ef1802AJAb2b" TargetMode="External"/><Relationship Id="rId7" Type="http://schemas.openxmlformats.org/officeDocument/2006/relationships/hyperlink" Target="https://www.aliexpress.com/item/1005005550328893.html?spm=a2g0o.order_list.order_list_main.10.21ef1802AJAb2b" TargetMode="External"/><Relationship Id="rId2" Type="http://schemas.openxmlformats.org/officeDocument/2006/relationships/hyperlink" Target="https://jlcpcb.com/" TargetMode="External"/><Relationship Id="rId1" Type="http://schemas.openxmlformats.org/officeDocument/2006/relationships/hyperlink" Target="https://allegro.cz/produkt/samolepici-etikety-a4-100-listu-210x297-mm-54b9d00f-b23f-450f-a1e0-0376e6e08632?offerId=17058006928" TargetMode="External"/><Relationship Id="rId6" Type="http://schemas.openxmlformats.org/officeDocument/2006/relationships/hyperlink" Target="https://www.aliexpress.com/item/1005009321343937.html?spm=a2g0o.order_list.order_list_main.20.21ef1802AJAb2b" TargetMode="External"/><Relationship Id="rId5" Type="http://schemas.openxmlformats.org/officeDocument/2006/relationships/hyperlink" Target="https://www.aliexpress.com/item/1005009248569656.html?spm=a2g0o.order_list.order_list_main.25.21ef1802AJAb2b" TargetMode="External"/><Relationship Id="rId4" Type="http://schemas.openxmlformats.org/officeDocument/2006/relationships/hyperlink" Target="https://www.aliexpress.com/item/1005010370389462.html?spm=a2g0o.order_list.order_list_main.15.21ef1802AJAb2b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llegro.cz/produkt/sroub-s-vnitrnim-sestihranem-din-912-m2x10-12-9-cz-pgw-500ks-57ac7d3c-914a-4cdb-af0c-7f86cc6a3e44?offerId=17444176805" TargetMode="External"/><Relationship Id="rId13" Type="http://schemas.openxmlformats.org/officeDocument/2006/relationships/hyperlink" Target="https://allegro.cz/produkt/i2c-multiplexer-tca9548a-2ef6a1c9-f65f-42e0-91eb-55106bc5c4ce?offerId=13855602088" TargetMode="External"/><Relationship Id="rId18" Type="http://schemas.openxmlformats.org/officeDocument/2006/relationships/hyperlink" Target="https://allegro.cz/produkt/keramicky-kondenzator-100nf-25v-n220-lizatko-20-kusu-86b7e230-9875-40e3-876e-cd82a81ce995?offerId=12038109700" TargetMode="External"/><Relationship Id="rId3" Type="http://schemas.openxmlformats.org/officeDocument/2006/relationships/hyperlink" Target="https://allegro.cz/produkt/led-pasek-rgb-ws2812b-1m-144-led-m-dc3c2eac-3cc3-4824-8311-bd2b831665b2?offerId=18175233253" TargetMode="External"/><Relationship Id="rId7" Type="http://schemas.openxmlformats.org/officeDocument/2006/relationships/hyperlink" Target="https://allegro.cz/produkt/propojovaci-kabely-samec-samice-20cm-40ks-arduino-dupont-3027b2cd-9eda-4329-a544-413d626328f6?offerId=15247011954" TargetMode="External"/><Relationship Id="rId12" Type="http://schemas.openxmlformats.org/officeDocument/2006/relationships/hyperlink" Target="https://allegro.cz/produkt/spinac-zapalovani-3-polohy-on-off-start-quad-traktor-sekacka-f2aa7911-b173-413e-b567-5ea15c33551e?offerId=17748141881&amp;utm_feed=712e6653-4749-4512-b084-b6e297fc9e0b&amp;utm_source=google&amp;utm_medium=cpc&amp;utm_campaign=CZ%3EAuto%3EVehicle-Parts-Moto-Accessories%3E3P%3EPMAX&amp;ev_campaign_id=20977861611&amp;gad_source=1&amp;gad_campaignid=20977873899&amp;gbraid=0AAAAApZ4Y9RnPbB8s7FvCidAMubRJhKLK&amp;gclid=CjwKCAiAybfLBhAjEiwAI0mBBkLY5FJhkTdtRjLOvIvBaaYFZn26Dbqju5H8z1E5McXuRuCfqRKn0RoC7b4QAvD_BwE" TargetMode="External"/><Relationship Id="rId17" Type="http://schemas.openxmlformats.org/officeDocument/2006/relationships/hyperlink" Target="https://allegro.cz/nabidka/flashdisk-prenosny-cerny-4gb-2-0-15097501285?context=f2fca9e907985b5b6193b238b6a4731e0a218b5dba9a6378eda5c09d69739c675a24584052be1238a92f3f5d4d3cbee10271a3203a8ccb6722afb88265da1621d94036a72a946db354a8a6269d14f89129cd5b376e028a793d9926ac79e48f9c625423c6dc78be09a56876a37507ad6bb81779aabac3e0bba1eaa33e553ab57b35fcec81c659f53bd2dd30ba70238760&amp;sellerHasChanged=false&amp;fromVariant=15097529032" TargetMode="External"/><Relationship Id="rId2" Type="http://schemas.openxmlformats.org/officeDocument/2006/relationships/hyperlink" Target="https://allegro.cz/produkt/mechanicka-klavesnice-spinace-gateron-brown-pro-3-0-predmazane-110-ks-1a03a194-59c6-4ab7-bef3-70fca2c897a8?offerId=14999298358&amp;utm_feed=712e6653-4749-4512-b084-b6e297fc9e0b&amp;utm_source=google&amp;utm_medium=cpc&amp;utm_campaign=CZ%3EElectro%3EComputers%3E3P%3EPLA&amp;ev_adgr=Ad%20group%201&amp;ev_campaign_id=22848223665&amp;gad_source=1&amp;gad_campaignid=22848223665&amp;gbraid=0AAAAApZ4Y9TrmTxzg6MMZGhEdpwW566HL&amp;gclid=CjwKCAiAj8LLBhAkEiwAJjbY784zh6GEzndhxq5QKpzX8sBm0vYArJz1veYanQpGR-LRBlIBNPRNLRoCJTwQAvD_BwE" TargetMode="External"/><Relationship Id="rId16" Type="http://schemas.openxmlformats.org/officeDocument/2006/relationships/hyperlink" Target="https://allegro.cz/produkt/samolepici-etikety-a4-100-listu-210x297-mm-54b9d00f-b23f-450f-a1e0-0376e6e08632?offerId=17058006928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https://allegro.cz/produkt/sada-rezistoru-1-4w-600-kusu-443a4e21-a0e8-4a6d-8e26-1717ab41f51c?offerId=15596420918" TargetMode="External"/><Relationship Id="rId6" Type="http://schemas.openxmlformats.org/officeDocument/2006/relationships/hyperlink" Target="https://allegro.cz/produkt/kabel-interlook-usb-usb-3-1-typ-c-1-m-cerny-a2577bd0-b2a2-4526-8d83-5f76b9a739c6?offerId=17851988217" TargetMode="External"/><Relationship Id="rId11" Type="http://schemas.openxmlformats.org/officeDocument/2006/relationships/hyperlink" Target="https://allegro.cz/produkt/uv-pryskyrice-anycubic-water-washable-clear-1-kg-f9882644-07f3-47ec-83a0-7f8d33f6e1a2?offerId=14168569346&amp;utm_feed=712e6653-4749-4512-b084-b6e297fc9e0b&amp;utm_source=google&amp;utm_medium=cpc&amp;utm_campaign=CZ%3EElectro%3EComputers%3E3P%3EPLA&amp;ev_adgr=Ad%20group%201&amp;ev_campaign_id=22848223665&amp;gad_source=1&amp;gad_campaignid=22848223665&amp;gbraid=0AAAAApZ4Y9T8t_uDEBM4fJCPVUpjRT_dI&amp;gclid=Cj0KCQiA-NHLBhDSARIsAIhe9X3GIvpUyLb9B49Jltg0v37K9r2J4_E80NqC2qasr7GmzvTXO-puMD8aApHLEALw_wcB" TargetMode="External"/><Relationship Id="rId5" Type="http://schemas.openxmlformats.org/officeDocument/2006/relationships/hyperlink" Target="https://www.eecart.com/bom/quote?f=PCB" TargetMode="External"/><Relationship Id="rId15" Type="http://schemas.openxmlformats.org/officeDocument/2006/relationships/hyperlink" Target="https://allegro.cz/produkt/klopova-krabice-ironpack-300x250x150-mm-380-g-m2-20-ks-e44f0985-aa2f-449a-a58b-0b9b1fd2d159?offerId=17178839794" TargetMode="External"/><Relationship Id="rId10" Type="http://schemas.openxmlformats.org/officeDocument/2006/relationships/hyperlink" Target="https://allegro.cz/produkt/320-ks-mosazne-distancni-sloupky-m2-typ-typ-prvku-zde-doplnte-konkretni-typ-fd489c30-2ac8-4b7a-8525-2d9a77b790bf?offerId=14362121772" TargetMode="External"/><Relationship Id="rId19" Type="http://schemas.openxmlformats.org/officeDocument/2006/relationships/hyperlink" Target="https://allegro.cz/produkt/elektrolyticky-kondenzator-1000uf-25v-105c-4ks-5699ecd0-977e-42ba-95fb-d618521d9068?offerId=9147174135" TargetMode="External"/><Relationship Id="rId4" Type="http://schemas.openxmlformats.org/officeDocument/2006/relationships/hyperlink" Target="https://allegro.cz/produkt/klon-raspberry-pi-pico-yd-rp2040-16mb-flash-usb-c-d5503e8e-5dc2-4e11-9717-2bbc3e3d3597?offerId=13528863155" TargetMode="External"/><Relationship Id="rId9" Type="http://schemas.openxmlformats.org/officeDocument/2006/relationships/hyperlink" Target="https://allegro.cz/produkt/sestihranne-matice-m2-a2-din-934-1500-ks-48c8c49e-f48a-4401-9ec5-fd7dff724994?offerId=14397397312" TargetMode="External"/><Relationship Id="rId14" Type="http://schemas.openxmlformats.org/officeDocument/2006/relationships/hyperlink" Target="https://allegro.cz/produkt/sacky-se-zipem-100-kusu-100x150mm-35mic-dotts-1d7bc2fc-6cbb-47a3-9a80-9f03ba0c0cb5?offerId=180345589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5bfe2883faedf2c4/Desktop/dash%20cluster/ucetnictvi/faktury%20prichozi/25v1000ufC_aliexpress.png" TargetMode="External"/><Relationship Id="rId7" Type="http://schemas.openxmlformats.org/officeDocument/2006/relationships/hyperlink" Target="../../../../5bfe2883faedf2c4/Desktop/dash%20cluster/ucetnictvi/faktury%20prichozi/30values330R0.25W_aliexpress.png" TargetMode="External"/><Relationship Id="rId2" Type="http://schemas.openxmlformats.org/officeDocument/2006/relationships/hyperlink" Target="../../../../5bfe2883faedf2c4/Desktop/dash%20cluster/ucetnictvi/faktury%20prichozi/09022026_LaskaKit.pdf" TargetMode="External"/><Relationship Id="rId1" Type="http://schemas.openxmlformats.org/officeDocument/2006/relationships/hyperlink" Target="../../../../5bfe2883faedf2c4/Desktop/dash%20cluster/ucetnictvi/faktury%20prichozi/27012026_JLCpcb.pdf" TargetMode="External"/><Relationship Id="rId6" Type="http://schemas.openxmlformats.org/officeDocument/2006/relationships/hyperlink" Target="../../../../5bfe2883faedf2c4/Desktop/dash%20cluster/ucetnictvi/faktury%20prichozi/ws2812b5vDC_aliexpress.png" TargetMode="External"/><Relationship Id="rId5" Type="http://schemas.openxmlformats.org/officeDocument/2006/relationships/hyperlink" Target="../../../../5bfe2883faedf2c4/Desktop/dash%20cluster/ucetnictvi/faktury%20prichozi/50v100nfC_aliexpress.png" TargetMode="External"/><Relationship Id="rId4" Type="http://schemas.openxmlformats.org/officeDocument/2006/relationships/hyperlink" Target="../../../../5bfe2883faedf2c4/Desktop/dash%20cluster/ucetnictvi/faktury%20prichozi/blackswitch_aliexpres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F284-3240-4E7F-8F0C-5A658B96A862}">
  <dimension ref="A1:J33"/>
  <sheetViews>
    <sheetView workbookViewId="0">
      <selection activeCell="C6" sqref="C6"/>
    </sheetView>
  </sheetViews>
  <sheetFormatPr defaultRowHeight="15" x14ac:dyDescent="0.25"/>
  <cols>
    <col min="1" max="1" width="18.5703125" customWidth="1"/>
    <col min="2" max="2" width="28.5703125" customWidth="1"/>
    <col min="3" max="3" width="11.42578125" customWidth="1"/>
    <col min="4" max="5" width="12.85546875" customWidth="1"/>
    <col min="9" max="9" width="12.85546875" customWidth="1"/>
  </cols>
  <sheetData>
    <row r="1" spans="1:10" ht="19.5" thickBot="1" x14ac:dyDescent="0.3">
      <c r="A1" s="213" t="s">
        <v>284</v>
      </c>
      <c r="B1" s="214"/>
      <c r="C1" s="214"/>
      <c r="D1" s="214"/>
      <c r="E1" s="214"/>
      <c r="F1" s="214"/>
      <c r="G1" s="214"/>
      <c r="H1" s="215"/>
      <c r="I1" s="216"/>
      <c r="J1" s="95"/>
    </row>
    <row r="2" spans="1:10" ht="15.75" thickBot="1" x14ac:dyDescent="0.3">
      <c r="A2" s="221" t="s">
        <v>285</v>
      </c>
      <c r="B2" s="222"/>
      <c r="C2" s="110" t="s">
        <v>292</v>
      </c>
      <c r="D2" s="96" t="s">
        <v>286</v>
      </c>
      <c r="E2" s="97" t="s">
        <v>287</v>
      </c>
      <c r="F2" s="207" t="s">
        <v>291</v>
      </c>
      <c r="G2" s="208"/>
      <c r="H2" s="209" t="s">
        <v>288</v>
      </c>
      <c r="I2" s="210"/>
      <c r="J2" s="3"/>
    </row>
    <row r="3" spans="1:10" ht="16.5" thickBot="1" x14ac:dyDescent="0.3">
      <c r="A3" s="223" t="s">
        <v>1</v>
      </c>
      <c r="B3" s="224"/>
      <c r="C3" s="102">
        <v>30</v>
      </c>
      <c r="D3" s="106">
        <f>'DASHCLUSTER classic V1'!I34</f>
        <v>5.7926666666666664</v>
      </c>
      <c r="E3" s="98">
        <f>C3*D3</f>
        <v>173.78</v>
      </c>
      <c r="F3" s="219">
        <v>12</v>
      </c>
      <c r="G3" s="220"/>
      <c r="H3" s="217" cm="1">
        <f t="array" ref="H3">MIN(IF(F3:F33&gt;0,INT(C3:C33/F3:F33)))</f>
        <v>1</v>
      </c>
      <c r="I3" s="200"/>
    </row>
    <row r="4" spans="1:10" ht="16.5" thickBot="1" x14ac:dyDescent="0.3">
      <c r="A4" s="211" t="s">
        <v>4</v>
      </c>
      <c r="B4" s="212"/>
      <c r="C4" s="103">
        <v>144</v>
      </c>
      <c r="D4" s="107">
        <f>'DASHCLUSTER classic V1'!I35</f>
        <v>0.91437499999999994</v>
      </c>
      <c r="E4" s="99">
        <f>C4*D4</f>
        <v>131.66999999999999</v>
      </c>
      <c r="F4" s="195">
        <v>12</v>
      </c>
      <c r="G4" s="196"/>
      <c r="H4" s="201" t="s">
        <v>289</v>
      </c>
      <c r="I4" s="202"/>
    </row>
    <row r="5" spans="1:10" ht="16.5" thickBot="1" x14ac:dyDescent="0.3">
      <c r="A5" s="211" t="s">
        <v>5</v>
      </c>
      <c r="B5" s="212"/>
      <c r="C5" s="103">
        <v>1</v>
      </c>
      <c r="D5" s="108">
        <f>'DASHCLUSTER classic V1'!I36</f>
        <v>40.22</v>
      </c>
      <c r="E5" s="100">
        <f t="shared" ref="E5:E21" si="0">C5*D5</f>
        <v>40.22</v>
      </c>
      <c r="F5" s="195">
        <v>1</v>
      </c>
      <c r="G5" s="196"/>
      <c r="H5" s="218">
        <f>SUM(E3:E33)</f>
        <v>1158.3561666666667</v>
      </c>
      <c r="I5" s="200"/>
    </row>
    <row r="6" spans="1:10" ht="16.5" thickBot="1" x14ac:dyDescent="0.3">
      <c r="A6" s="211" t="s">
        <v>6</v>
      </c>
      <c r="B6" s="212"/>
      <c r="C6" s="103">
        <v>5</v>
      </c>
      <c r="D6" s="107">
        <f>'DASHCLUSTER classic V1'!I37</f>
        <v>71.09</v>
      </c>
      <c r="E6" s="99">
        <f t="shared" si="0"/>
        <v>355.45000000000005</v>
      </c>
      <c r="F6" s="195">
        <v>1</v>
      </c>
      <c r="G6" s="196"/>
      <c r="H6" s="201" t="s">
        <v>293</v>
      </c>
      <c r="I6" s="202"/>
    </row>
    <row r="7" spans="1:10" ht="16.5" thickBot="1" x14ac:dyDescent="0.3">
      <c r="A7" s="211" t="s">
        <v>7</v>
      </c>
      <c r="B7" s="212"/>
      <c r="C7" s="103">
        <v>2</v>
      </c>
      <c r="D7" s="108">
        <f>'DASHCLUSTER classic V1'!I38</f>
        <v>28.576000000000001</v>
      </c>
      <c r="E7" s="100">
        <f t="shared" si="0"/>
        <v>57.152000000000001</v>
      </c>
      <c r="F7" s="195">
        <v>1</v>
      </c>
      <c r="G7" s="196"/>
      <c r="H7" s="199" cm="1">
        <f t="array" ref="H7">SUM(IF(F3:F33&gt;C3:C33, F3:F33-C3:C33, 0))</f>
        <v>0</v>
      </c>
      <c r="I7" s="200"/>
    </row>
    <row r="8" spans="1:10" ht="16.5" thickBot="1" x14ac:dyDescent="0.3">
      <c r="A8" s="211" t="s">
        <v>8</v>
      </c>
      <c r="B8" s="212"/>
      <c r="C8" s="103">
        <v>10</v>
      </c>
      <c r="D8" s="107">
        <f>'DASHCLUSTER classic V1'!I39</f>
        <v>0.36175000000000002</v>
      </c>
      <c r="E8" s="99">
        <f t="shared" si="0"/>
        <v>3.6175000000000002</v>
      </c>
      <c r="F8" s="195">
        <v>5</v>
      </c>
      <c r="G8" s="196"/>
      <c r="H8" s="201" t="s">
        <v>290</v>
      </c>
      <c r="I8" s="202"/>
    </row>
    <row r="9" spans="1:10" ht="16.5" thickBot="1" x14ac:dyDescent="0.3">
      <c r="A9" s="211" t="s">
        <v>9</v>
      </c>
      <c r="B9" s="212"/>
      <c r="C9" s="103">
        <v>0</v>
      </c>
      <c r="D9" s="108">
        <f>'DASHCLUSTER classic V1'!I40</f>
        <v>0.27060000000000001</v>
      </c>
      <c r="E9" s="100">
        <f t="shared" si="0"/>
        <v>0</v>
      </c>
      <c r="F9" s="195">
        <v>0</v>
      </c>
      <c r="G9" s="196"/>
      <c r="H9" s="199" cm="1">
        <f t="array" ref="H9">SUM(IF((C3:C33-F3:F33&lt;=2)*(C3:C33-F3:F33&gt;=0)*(F3:F33&gt;0), 1, 0))</f>
        <v>2</v>
      </c>
      <c r="I9" s="200"/>
    </row>
    <row r="10" spans="1:10" ht="15.75" x14ac:dyDescent="0.25">
      <c r="A10" s="211" t="s">
        <v>10</v>
      </c>
      <c r="B10" s="212"/>
      <c r="C10" s="103">
        <v>0</v>
      </c>
      <c r="D10" s="107">
        <f>'DASHCLUSTER classic V1'!I41</f>
        <v>0.22949999999999998</v>
      </c>
      <c r="E10" s="99">
        <f t="shared" si="0"/>
        <v>0</v>
      </c>
      <c r="F10" s="195">
        <v>0</v>
      </c>
      <c r="G10" s="196"/>
    </row>
    <row r="11" spans="1:10" ht="15.75" x14ac:dyDescent="0.25">
      <c r="A11" s="211" t="s">
        <v>11</v>
      </c>
      <c r="B11" s="212"/>
      <c r="C11" s="103">
        <v>0</v>
      </c>
      <c r="D11" s="108">
        <f>'DASHCLUSTER classic V1'!I42</f>
        <v>0.84175</v>
      </c>
      <c r="E11" s="100">
        <f t="shared" si="0"/>
        <v>0</v>
      </c>
      <c r="F11" s="195">
        <v>0</v>
      </c>
      <c r="G11" s="196"/>
    </row>
    <row r="12" spans="1:10" ht="15.75" x14ac:dyDescent="0.25">
      <c r="A12" s="211" t="s">
        <v>12</v>
      </c>
      <c r="B12" s="212"/>
      <c r="C12" s="104">
        <v>500</v>
      </c>
      <c r="D12" s="107">
        <f>'DASHCLUSTER classic V1'!I43</f>
        <v>0.40775333333333336</v>
      </c>
      <c r="E12" s="99">
        <f t="shared" si="0"/>
        <v>203.87666666666667</v>
      </c>
      <c r="F12" s="197">
        <v>250</v>
      </c>
      <c r="G12" s="198"/>
    </row>
    <row r="13" spans="1:10" ht="15.75" x14ac:dyDescent="0.25">
      <c r="A13" s="211" t="s">
        <v>14</v>
      </c>
      <c r="B13" s="212"/>
      <c r="C13" s="103">
        <v>0</v>
      </c>
      <c r="D13" s="108">
        <f>'DASHCLUSTER classic V1'!I44</f>
        <v>89.62</v>
      </c>
      <c r="E13" s="100">
        <f t="shared" si="0"/>
        <v>0</v>
      </c>
      <c r="F13" s="195">
        <v>0</v>
      </c>
      <c r="G13" s="196"/>
    </row>
    <row r="14" spans="1:10" ht="15.75" x14ac:dyDescent="0.25">
      <c r="A14" s="211" t="s">
        <v>15</v>
      </c>
      <c r="B14" s="212"/>
      <c r="C14" s="103">
        <v>0</v>
      </c>
      <c r="D14" s="107">
        <f>'DASHCLUSTER classic V1'!I45</f>
        <v>0</v>
      </c>
      <c r="E14" s="99">
        <f t="shared" si="0"/>
        <v>0</v>
      </c>
      <c r="F14" s="195">
        <v>0</v>
      </c>
      <c r="G14" s="196"/>
    </row>
    <row r="15" spans="1:10" ht="15.75" x14ac:dyDescent="0.25">
      <c r="A15" s="211" t="s">
        <v>16</v>
      </c>
      <c r="B15" s="212"/>
      <c r="C15" s="103">
        <v>0</v>
      </c>
      <c r="D15" s="108">
        <f>'DASHCLUSTER classic V1'!I46</f>
        <v>0.15131</v>
      </c>
      <c r="E15" s="100">
        <f t="shared" si="0"/>
        <v>0</v>
      </c>
      <c r="F15" s="195">
        <v>0</v>
      </c>
      <c r="G15" s="196"/>
    </row>
    <row r="16" spans="1:10" ht="15.75" x14ac:dyDescent="0.25">
      <c r="A16" s="211" t="s">
        <v>17</v>
      </c>
      <c r="B16" s="212"/>
      <c r="C16" s="103">
        <v>0</v>
      </c>
      <c r="D16" s="107">
        <f>'DASHCLUSTER classic V1'!I47</f>
        <v>15.955000000000002</v>
      </c>
      <c r="E16" s="99">
        <f t="shared" si="0"/>
        <v>0</v>
      </c>
      <c r="F16" s="195">
        <v>0</v>
      </c>
      <c r="G16" s="196"/>
    </row>
    <row r="17" spans="1:7" ht="15.75" x14ac:dyDescent="0.25">
      <c r="A17" s="211" t="s">
        <v>18</v>
      </c>
      <c r="B17" s="212"/>
      <c r="C17" s="103">
        <v>0</v>
      </c>
      <c r="D17" s="108">
        <f>'DASHCLUSTER classic V1'!I48</f>
        <v>1.19</v>
      </c>
      <c r="E17" s="100">
        <f t="shared" si="0"/>
        <v>0</v>
      </c>
      <c r="F17" s="195">
        <v>0</v>
      </c>
      <c r="G17" s="196"/>
    </row>
    <row r="18" spans="1:7" ht="15.75" x14ac:dyDescent="0.25">
      <c r="A18" s="211" t="s">
        <v>19</v>
      </c>
      <c r="B18" s="212"/>
      <c r="C18" s="103">
        <v>0</v>
      </c>
      <c r="D18" s="107">
        <f>'DASHCLUSTER classic V1'!I49</f>
        <v>34.32</v>
      </c>
      <c r="E18" s="99">
        <f t="shared" si="0"/>
        <v>0</v>
      </c>
      <c r="F18" s="195">
        <v>0</v>
      </c>
      <c r="G18" s="196"/>
    </row>
    <row r="19" spans="1:7" ht="15.75" x14ac:dyDescent="0.25">
      <c r="A19" s="211" t="s">
        <v>244</v>
      </c>
      <c r="B19" s="212"/>
      <c r="C19" s="103">
        <v>20</v>
      </c>
      <c r="D19" s="108">
        <f>'DASHCLUSTER classic V1'!I50</f>
        <v>3.9765000000000001</v>
      </c>
      <c r="E19" s="100">
        <f t="shared" si="0"/>
        <v>79.53</v>
      </c>
      <c r="F19" s="195">
        <v>1</v>
      </c>
      <c r="G19" s="196"/>
    </row>
    <row r="20" spans="1:7" ht="15.75" x14ac:dyDescent="0.25">
      <c r="A20" s="211" t="s">
        <v>58</v>
      </c>
      <c r="B20" s="212"/>
      <c r="C20" s="103">
        <v>100</v>
      </c>
      <c r="D20" s="107">
        <f>'DASHCLUSTER classic V1'!I51</f>
        <v>0.43340000000000001</v>
      </c>
      <c r="E20" s="99">
        <f t="shared" si="0"/>
        <v>43.34</v>
      </c>
      <c r="F20" s="195">
        <v>12</v>
      </c>
      <c r="G20" s="196"/>
    </row>
    <row r="21" spans="1:7" ht="15.75" x14ac:dyDescent="0.25">
      <c r="A21" s="211" t="s">
        <v>60</v>
      </c>
      <c r="B21" s="212"/>
      <c r="C21" s="103">
        <v>20</v>
      </c>
      <c r="D21" s="108">
        <f>'DASHCLUSTER classic V1'!I52</f>
        <v>3.4859999999999998</v>
      </c>
      <c r="E21" s="100">
        <f t="shared" si="0"/>
        <v>69.72</v>
      </c>
      <c r="F21" s="195">
        <v>1</v>
      </c>
      <c r="G21" s="196"/>
    </row>
    <row r="22" spans="1:7" ht="15.75" x14ac:dyDescent="0.25">
      <c r="A22" s="203"/>
      <c r="B22" s="204"/>
      <c r="C22" s="103"/>
      <c r="D22" s="107"/>
      <c r="E22" s="99"/>
      <c r="F22" s="195"/>
      <c r="G22" s="196"/>
    </row>
    <row r="23" spans="1:7" ht="15.75" x14ac:dyDescent="0.25">
      <c r="A23" s="203"/>
      <c r="B23" s="204"/>
      <c r="C23" s="103"/>
      <c r="D23" s="108"/>
      <c r="E23" s="100"/>
      <c r="F23" s="195"/>
      <c r="G23" s="196"/>
    </row>
    <row r="24" spans="1:7" ht="15.75" x14ac:dyDescent="0.25">
      <c r="A24" s="203"/>
      <c r="B24" s="204"/>
      <c r="C24" s="103"/>
      <c r="D24" s="107"/>
      <c r="E24" s="99"/>
      <c r="F24" s="195"/>
      <c r="G24" s="196"/>
    </row>
    <row r="25" spans="1:7" ht="15.75" x14ac:dyDescent="0.25">
      <c r="A25" s="203"/>
      <c r="B25" s="204"/>
      <c r="C25" s="103"/>
      <c r="D25" s="108"/>
      <c r="E25" s="100"/>
      <c r="F25" s="195"/>
      <c r="G25" s="196"/>
    </row>
    <row r="26" spans="1:7" ht="15.75" x14ac:dyDescent="0.25">
      <c r="A26" s="203"/>
      <c r="B26" s="204"/>
      <c r="C26" s="103"/>
      <c r="D26" s="107"/>
      <c r="E26" s="99"/>
      <c r="F26" s="195"/>
      <c r="G26" s="196"/>
    </row>
    <row r="27" spans="1:7" ht="15.75" x14ac:dyDescent="0.25">
      <c r="A27" s="203"/>
      <c r="B27" s="204"/>
      <c r="C27" s="103"/>
      <c r="D27" s="108"/>
      <c r="E27" s="100"/>
      <c r="F27" s="195"/>
      <c r="G27" s="196"/>
    </row>
    <row r="28" spans="1:7" ht="15.75" x14ac:dyDescent="0.25">
      <c r="A28" s="203"/>
      <c r="B28" s="204"/>
      <c r="C28" s="103"/>
      <c r="D28" s="107"/>
      <c r="E28" s="99"/>
      <c r="F28" s="195"/>
      <c r="G28" s="196"/>
    </row>
    <row r="29" spans="1:7" ht="15.75" x14ac:dyDescent="0.25">
      <c r="A29" s="203"/>
      <c r="B29" s="204"/>
      <c r="C29" s="103"/>
      <c r="D29" s="108"/>
      <c r="E29" s="100"/>
      <c r="F29" s="195"/>
      <c r="G29" s="196"/>
    </row>
    <row r="30" spans="1:7" ht="15.75" x14ac:dyDescent="0.25">
      <c r="A30" s="203"/>
      <c r="B30" s="204"/>
      <c r="C30" s="103"/>
      <c r="D30" s="107"/>
      <c r="E30" s="99"/>
      <c r="F30" s="195"/>
      <c r="G30" s="196"/>
    </row>
    <row r="31" spans="1:7" ht="15.75" x14ac:dyDescent="0.25">
      <c r="A31" s="203"/>
      <c r="B31" s="204"/>
      <c r="C31" s="103"/>
      <c r="D31" s="108"/>
      <c r="E31" s="100"/>
      <c r="F31" s="195"/>
      <c r="G31" s="196"/>
    </row>
    <row r="32" spans="1:7" ht="15.75" x14ac:dyDescent="0.25">
      <c r="A32" s="203"/>
      <c r="B32" s="204"/>
      <c r="C32" s="103"/>
      <c r="D32" s="107"/>
      <c r="E32" s="99"/>
      <c r="F32" s="195"/>
      <c r="G32" s="196"/>
    </row>
    <row r="33" spans="1:7" ht="16.5" thickBot="1" x14ac:dyDescent="0.3">
      <c r="A33" s="205"/>
      <c r="B33" s="206"/>
      <c r="C33" s="105"/>
      <c r="D33" s="109"/>
      <c r="E33" s="101"/>
      <c r="F33" s="193"/>
      <c r="G33" s="194"/>
    </row>
  </sheetData>
  <mergeCells count="73">
    <mergeCell ref="A12:B12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24:B24"/>
    <mergeCell ref="A13:B13"/>
    <mergeCell ref="A14:B14"/>
    <mergeCell ref="A15:B15"/>
    <mergeCell ref="A16:B16"/>
    <mergeCell ref="A17:B17"/>
    <mergeCell ref="A18:B18"/>
    <mergeCell ref="A1:I1"/>
    <mergeCell ref="H3:I3"/>
    <mergeCell ref="H4:I4"/>
    <mergeCell ref="H5:I5"/>
    <mergeCell ref="H6:I6"/>
    <mergeCell ref="F3:G3"/>
    <mergeCell ref="F4:G4"/>
    <mergeCell ref="F5:G5"/>
    <mergeCell ref="F6:G6"/>
    <mergeCell ref="A31:B31"/>
    <mergeCell ref="A32:B32"/>
    <mergeCell ref="A33:B33"/>
    <mergeCell ref="F2:G2"/>
    <mergeCell ref="H2:I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F8:G8"/>
    <mergeCell ref="F9:G9"/>
    <mergeCell ref="H7:I7"/>
    <mergeCell ref="H8:I8"/>
    <mergeCell ref="H9:I9"/>
    <mergeCell ref="F7:G7"/>
    <mergeCell ref="F21:G21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33:G33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</mergeCells>
  <conditionalFormatting sqref="C3:C33">
    <cfRule type="expression" dxfId="24" priority="5">
      <formula>AND($F3&gt;0, $C3&gt;=$F3, $C3&lt;=$F3+2)</formula>
    </cfRule>
    <cfRule type="expression" dxfId="23" priority="6">
      <formula>AND($F3&gt;0, $C3&gt;$F3+2)</formula>
    </cfRule>
    <cfRule type="expression" dxfId="22" priority="7">
      <formula>AND($F3&gt;0, $C3&lt;$F3)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F80B-7F4F-4904-81EE-DC161D316EA9}">
  <dimension ref="A1:T81"/>
  <sheetViews>
    <sheetView tabSelected="1" zoomScale="79" zoomScaleNormal="70" workbookViewId="0">
      <selection activeCell="L3" sqref="L3:M3"/>
    </sheetView>
  </sheetViews>
  <sheetFormatPr defaultRowHeight="15" x14ac:dyDescent="0.25"/>
  <cols>
    <col min="6" max="6" width="2.5703125" customWidth="1"/>
    <col min="7" max="7" width="12.85546875" customWidth="1"/>
    <col min="8" max="8" width="13.5703125" customWidth="1"/>
    <col min="9" max="9" width="13.140625" customWidth="1"/>
    <col min="10" max="10" width="9.140625" customWidth="1"/>
    <col min="11" max="11" width="8.85546875" customWidth="1"/>
    <col min="17" max="17" width="2.7109375" customWidth="1"/>
    <col min="18" max="18" width="16.28515625" customWidth="1"/>
    <col min="19" max="19" width="27.140625" customWidth="1"/>
    <col min="20" max="20" width="17.28515625" customWidth="1"/>
  </cols>
  <sheetData>
    <row r="1" spans="1:19" ht="16.5" thickBot="1" x14ac:dyDescent="0.3">
      <c r="A1" s="239" t="s">
        <v>38</v>
      </c>
      <c r="B1" s="240"/>
      <c r="C1" s="240"/>
      <c r="D1" s="240"/>
      <c r="E1" s="241"/>
      <c r="F1" s="25"/>
      <c r="G1" s="26" t="s">
        <v>29</v>
      </c>
      <c r="H1" s="124">
        <f ca="1">TODAY()</f>
        <v>46157</v>
      </c>
      <c r="I1" s="125"/>
      <c r="J1" s="137" t="s">
        <v>33</v>
      </c>
      <c r="K1" s="138"/>
      <c r="L1" s="138"/>
      <c r="M1" s="139"/>
    </row>
    <row r="2" spans="1:19" ht="15.75" thickBot="1" x14ac:dyDescent="0.3">
      <c r="A2" s="228" t="s">
        <v>28</v>
      </c>
      <c r="B2" s="242"/>
      <c r="C2" s="242"/>
      <c r="D2" s="242"/>
      <c r="E2" s="242"/>
      <c r="F2" s="21"/>
      <c r="G2" s="38" t="s">
        <v>30</v>
      </c>
      <c r="H2" s="27" t="s">
        <v>0</v>
      </c>
      <c r="J2" s="228" t="s">
        <v>32</v>
      </c>
      <c r="K2" s="229"/>
      <c r="L2" s="230">
        <v>1.7</v>
      </c>
      <c r="M2" s="231"/>
    </row>
    <row r="3" spans="1:19" ht="15.75" thickBot="1" x14ac:dyDescent="0.3">
      <c r="A3" s="243" t="s">
        <v>1</v>
      </c>
      <c r="B3" s="244"/>
      <c r="C3" s="244"/>
      <c r="D3" s="244"/>
      <c r="E3" s="244"/>
      <c r="F3" s="22"/>
      <c r="G3" s="39">
        <v>12</v>
      </c>
      <c r="H3" s="28">
        <f t="shared" ref="H3:H20" si="0">G3*I34</f>
        <v>69.512</v>
      </c>
      <c r="J3" s="228" t="s">
        <v>37</v>
      </c>
      <c r="K3" s="229"/>
      <c r="L3" s="232">
        <v>0.15</v>
      </c>
      <c r="M3" s="231"/>
    </row>
    <row r="4" spans="1:19" ht="15.75" thickBot="1" x14ac:dyDescent="0.3">
      <c r="A4" s="203" t="s">
        <v>4</v>
      </c>
      <c r="B4" s="204"/>
      <c r="C4" s="204"/>
      <c r="D4" s="204"/>
      <c r="E4" s="204"/>
      <c r="F4" s="22"/>
      <c r="G4" s="39">
        <v>12</v>
      </c>
      <c r="H4" s="28">
        <f t="shared" si="0"/>
        <v>10.9725</v>
      </c>
      <c r="J4" s="228" t="s">
        <v>259</v>
      </c>
      <c r="K4" s="229"/>
      <c r="L4" s="232"/>
      <c r="M4" s="231"/>
    </row>
    <row r="5" spans="1:19" ht="15.75" thickBot="1" x14ac:dyDescent="0.3">
      <c r="A5" s="203" t="s">
        <v>5</v>
      </c>
      <c r="B5" s="204"/>
      <c r="C5" s="204"/>
      <c r="D5" s="204"/>
      <c r="E5" s="204"/>
      <c r="F5" s="22"/>
      <c r="G5" s="39">
        <v>1</v>
      </c>
      <c r="H5" s="28">
        <f t="shared" si="0"/>
        <v>40.22</v>
      </c>
      <c r="S5" s="93"/>
    </row>
    <row r="6" spans="1:19" ht="15.75" thickBot="1" x14ac:dyDescent="0.3">
      <c r="A6" s="203" t="s">
        <v>6</v>
      </c>
      <c r="B6" s="204"/>
      <c r="C6" s="204"/>
      <c r="D6" s="204"/>
      <c r="E6" s="204"/>
      <c r="F6" s="22"/>
      <c r="G6" s="39">
        <v>1</v>
      </c>
      <c r="H6" s="28">
        <f t="shared" si="0"/>
        <v>71.09</v>
      </c>
    </row>
    <row r="7" spans="1:19" ht="15.75" thickBot="1" x14ac:dyDescent="0.3">
      <c r="A7" s="203" t="s">
        <v>7</v>
      </c>
      <c r="B7" s="204"/>
      <c r="C7" s="204"/>
      <c r="D7" s="204"/>
      <c r="E7" s="204"/>
      <c r="F7" s="22"/>
      <c r="G7" s="39">
        <v>1</v>
      </c>
      <c r="H7" s="28">
        <f t="shared" si="0"/>
        <v>28.576000000000001</v>
      </c>
    </row>
    <row r="8" spans="1:19" ht="15.75" thickBot="1" x14ac:dyDescent="0.3">
      <c r="A8" s="203" t="s">
        <v>8</v>
      </c>
      <c r="B8" s="204"/>
      <c r="C8" s="204"/>
      <c r="D8" s="204"/>
      <c r="E8" s="204"/>
      <c r="F8" s="22"/>
      <c r="G8" s="39"/>
      <c r="H8" s="28">
        <f t="shared" si="0"/>
        <v>0</v>
      </c>
    </row>
    <row r="9" spans="1:19" ht="15.75" thickBot="1" x14ac:dyDescent="0.3">
      <c r="A9" s="203" t="s">
        <v>9</v>
      </c>
      <c r="B9" s="204"/>
      <c r="C9" s="204"/>
      <c r="D9" s="204"/>
      <c r="E9" s="204"/>
      <c r="F9" s="22"/>
      <c r="G9" s="39"/>
      <c r="H9" s="28">
        <f t="shared" si="0"/>
        <v>0</v>
      </c>
      <c r="K9" s="233" t="s">
        <v>31</v>
      </c>
      <c r="L9" s="234"/>
      <c r="M9" s="235">
        <f>SUM(H3:H30)*(1-L4)</f>
        <v>368.55073333333331</v>
      </c>
      <c r="N9" s="236"/>
    </row>
    <row r="10" spans="1:19" ht="15.75" thickBot="1" x14ac:dyDescent="0.3">
      <c r="A10" s="203" t="s">
        <v>10</v>
      </c>
      <c r="B10" s="204"/>
      <c r="C10" s="204"/>
      <c r="D10" s="204"/>
      <c r="E10" s="204"/>
      <c r="F10" s="22"/>
      <c r="G10" s="39"/>
      <c r="H10" s="28">
        <f t="shared" si="0"/>
        <v>0</v>
      </c>
      <c r="K10" s="233" t="s">
        <v>34</v>
      </c>
      <c r="L10" s="234"/>
      <c r="M10" s="237">
        <f>M9*(1+L2)</f>
        <v>995.08698000000004</v>
      </c>
      <c r="N10" s="238"/>
    </row>
    <row r="11" spans="1:19" ht="15.75" thickBot="1" x14ac:dyDescent="0.3">
      <c r="A11" s="203" t="s">
        <v>11</v>
      </c>
      <c r="B11" s="204"/>
      <c r="C11" s="204"/>
      <c r="D11" s="204"/>
      <c r="E11" s="204"/>
      <c r="F11" s="22"/>
      <c r="G11" s="39"/>
      <c r="H11" s="28">
        <f t="shared" si="0"/>
        <v>0</v>
      </c>
      <c r="K11" s="233" t="s">
        <v>35</v>
      </c>
      <c r="L11" s="234"/>
      <c r="M11" s="235">
        <f>M13-M9</f>
        <v>630.44926666666674</v>
      </c>
      <c r="N11" s="236"/>
    </row>
    <row r="12" spans="1:19" ht="15.75" thickBot="1" x14ac:dyDescent="0.3">
      <c r="A12" s="203" t="s">
        <v>12</v>
      </c>
      <c r="B12" s="204"/>
      <c r="C12" s="204"/>
      <c r="D12" s="204"/>
      <c r="E12" s="204"/>
      <c r="F12" s="22"/>
      <c r="G12" s="39">
        <v>250</v>
      </c>
      <c r="H12" s="28">
        <f t="shared" si="0"/>
        <v>101.93833333333333</v>
      </c>
      <c r="K12" s="225" t="s">
        <v>36</v>
      </c>
      <c r="L12" s="226"/>
      <c r="M12" s="158">
        <f>M11*(1-L3)</f>
        <v>535.8818766666667</v>
      </c>
      <c r="N12" s="227"/>
    </row>
    <row r="13" spans="1:19" ht="15.75" thickBot="1" x14ac:dyDescent="0.3">
      <c r="A13" s="203" t="s">
        <v>14</v>
      </c>
      <c r="B13" s="204"/>
      <c r="C13" s="204"/>
      <c r="D13" s="204"/>
      <c r="E13" s="204"/>
      <c r="F13" s="22"/>
      <c r="G13" s="39"/>
      <c r="H13" s="28">
        <f t="shared" si="0"/>
        <v>0</v>
      </c>
      <c r="K13" s="256" t="s">
        <v>63</v>
      </c>
      <c r="L13" s="257"/>
      <c r="M13" s="145">
        <f>MIN(ROUNDUP((M10-49)/100,0)*100+49, ROUNDUP((M10-99)/100,0)*100+99)</f>
        <v>999</v>
      </c>
      <c r="N13" s="146"/>
    </row>
    <row r="14" spans="1:19" ht="15.75" thickBot="1" x14ac:dyDescent="0.3">
      <c r="A14" s="203" t="s">
        <v>15</v>
      </c>
      <c r="B14" s="204"/>
      <c r="C14" s="204"/>
      <c r="D14" s="204"/>
      <c r="E14" s="204"/>
      <c r="F14" s="22"/>
      <c r="G14" s="39"/>
      <c r="H14" s="28">
        <f t="shared" si="0"/>
        <v>0</v>
      </c>
    </row>
    <row r="15" spans="1:19" ht="15.75" thickBot="1" x14ac:dyDescent="0.3">
      <c r="A15" s="203" t="s">
        <v>16</v>
      </c>
      <c r="B15" s="204"/>
      <c r="C15" s="204"/>
      <c r="D15" s="204"/>
      <c r="E15" s="204"/>
      <c r="F15" s="22"/>
      <c r="G15" s="39"/>
      <c r="H15" s="28">
        <f t="shared" si="0"/>
        <v>0</v>
      </c>
    </row>
    <row r="16" spans="1:19" ht="15.75" thickBot="1" x14ac:dyDescent="0.3">
      <c r="A16" s="203" t="s">
        <v>17</v>
      </c>
      <c r="B16" s="204"/>
      <c r="C16" s="204"/>
      <c r="D16" s="204"/>
      <c r="E16" s="204"/>
      <c r="F16" s="22"/>
      <c r="G16" s="39"/>
      <c r="H16" s="28">
        <f t="shared" si="0"/>
        <v>0</v>
      </c>
    </row>
    <row r="17" spans="1:8" ht="15.75" thickBot="1" x14ac:dyDescent="0.3">
      <c r="A17" s="203" t="s">
        <v>18</v>
      </c>
      <c r="B17" s="204"/>
      <c r="C17" s="204"/>
      <c r="D17" s="204"/>
      <c r="E17" s="204"/>
      <c r="F17" s="22"/>
      <c r="G17" s="39"/>
      <c r="H17" s="28">
        <f t="shared" si="0"/>
        <v>0</v>
      </c>
    </row>
    <row r="18" spans="1:8" ht="15.75" thickBot="1" x14ac:dyDescent="0.3">
      <c r="A18" s="250" t="s">
        <v>19</v>
      </c>
      <c r="B18" s="251"/>
      <c r="C18" s="251"/>
      <c r="D18" s="251"/>
      <c r="E18" s="251"/>
      <c r="F18" s="22"/>
      <c r="G18" s="39"/>
      <c r="H18" s="28">
        <f t="shared" si="0"/>
        <v>0</v>
      </c>
    </row>
    <row r="19" spans="1:8" ht="15.75" thickBot="1" x14ac:dyDescent="0.3">
      <c r="A19" s="203" t="s">
        <v>62</v>
      </c>
      <c r="B19" s="204"/>
      <c r="C19" s="204"/>
      <c r="D19" s="204"/>
      <c r="E19" s="204"/>
      <c r="F19" s="22"/>
      <c r="G19" s="39">
        <v>1</v>
      </c>
      <c r="H19" s="28">
        <f t="shared" si="0"/>
        <v>3.9765000000000001</v>
      </c>
    </row>
    <row r="20" spans="1:8" ht="15.75" thickBot="1" x14ac:dyDescent="0.3">
      <c r="A20" s="203" t="s">
        <v>58</v>
      </c>
      <c r="B20" s="204"/>
      <c r="C20" s="204"/>
      <c r="D20" s="204"/>
      <c r="E20" s="204"/>
      <c r="F20" s="22"/>
      <c r="G20" s="37">
        <v>1</v>
      </c>
      <c r="H20" s="36">
        <f t="shared" si="0"/>
        <v>0.43340000000000001</v>
      </c>
    </row>
    <row r="21" spans="1:8" ht="15.75" thickBot="1" x14ac:dyDescent="0.3">
      <c r="A21" s="203" t="s">
        <v>60</v>
      </c>
      <c r="B21" s="204"/>
      <c r="C21" s="204"/>
      <c r="D21" s="204"/>
      <c r="E21" s="204"/>
      <c r="F21" s="22"/>
      <c r="G21" s="39">
        <v>12</v>
      </c>
      <c r="H21" s="28">
        <f t="shared" ref="H21:H30" si="1">G21*I52</f>
        <v>41.831999999999994</v>
      </c>
    </row>
    <row r="22" spans="1:8" ht="15.75" thickBot="1" x14ac:dyDescent="0.3">
      <c r="A22" s="203"/>
      <c r="B22" s="204"/>
      <c r="C22" s="204"/>
      <c r="D22" s="204"/>
      <c r="E22" s="204"/>
      <c r="F22" s="22"/>
      <c r="G22" s="37"/>
      <c r="H22" s="36">
        <f t="shared" si="1"/>
        <v>0</v>
      </c>
    </row>
    <row r="23" spans="1:8" ht="15.75" thickBot="1" x14ac:dyDescent="0.3">
      <c r="A23" s="203"/>
      <c r="B23" s="204"/>
      <c r="C23" s="204"/>
      <c r="D23" s="204"/>
      <c r="E23" s="204"/>
      <c r="F23" s="22"/>
      <c r="G23" s="39"/>
      <c r="H23" s="28">
        <f t="shared" si="1"/>
        <v>0</v>
      </c>
    </row>
    <row r="24" spans="1:8" ht="15.75" thickBot="1" x14ac:dyDescent="0.3">
      <c r="A24" s="203"/>
      <c r="B24" s="204"/>
      <c r="C24" s="204"/>
      <c r="D24" s="204"/>
      <c r="E24" s="204"/>
      <c r="F24" s="22"/>
      <c r="G24" s="37"/>
      <c r="H24" s="36">
        <f t="shared" si="1"/>
        <v>0</v>
      </c>
    </row>
    <row r="25" spans="1:8" ht="15.75" thickBot="1" x14ac:dyDescent="0.3">
      <c r="A25" s="203"/>
      <c r="B25" s="204"/>
      <c r="C25" s="204"/>
      <c r="D25" s="204"/>
      <c r="E25" s="204"/>
      <c r="F25" s="22"/>
      <c r="G25" s="39"/>
      <c r="H25" s="28">
        <f t="shared" si="1"/>
        <v>0</v>
      </c>
    </row>
    <row r="26" spans="1:8" ht="15.75" thickBot="1" x14ac:dyDescent="0.3">
      <c r="A26" s="203"/>
      <c r="B26" s="204"/>
      <c r="C26" s="204"/>
      <c r="D26" s="204"/>
      <c r="E26" s="204"/>
      <c r="F26" s="22"/>
      <c r="G26" s="37"/>
      <c r="H26" s="36">
        <f t="shared" si="1"/>
        <v>0</v>
      </c>
    </row>
    <row r="27" spans="1:8" ht="15.75" thickBot="1" x14ac:dyDescent="0.3">
      <c r="A27" s="203"/>
      <c r="B27" s="204"/>
      <c r="C27" s="204"/>
      <c r="D27" s="204"/>
      <c r="E27" s="204"/>
      <c r="F27" s="22"/>
      <c r="G27" s="39"/>
      <c r="H27" s="28">
        <f t="shared" si="1"/>
        <v>0</v>
      </c>
    </row>
    <row r="28" spans="1:8" ht="15.75" thickBot="1" x14ac:dyDescent="0.3">
      <c r="A28" s="203"/>
      <c r="B28" s="204"/>
      <c r="C28" s="204"/>
      <c r="D28" s="204"/>
      <c r="E28" s="204"/>
      <c r="F28" s="22"/>
      <c r="G28" s="37"/>
      <c r="H28" s="36">
        <f t="shared" si="1"/>
        <v>0</v>
      </c>
    </row>
    <row r="29" spans="1:8" ht="15.75" thickBot="1" x14ac:dyDescent="0.3">
      <c r="A29" s="203"/>
      <c r="B29" s="204"/>
      <c r="C29" s="204"/>
      <c r="D29" s="204"/>
      <c r="E29" s="204"/>
      <c r="F29" s="22"/>
      <c r="G29" s="39"/>
      <c r="H29" s="28">
        <f t="shared" si="1"/>
        <v>0</v>
      </c>
    </row>
    <row r="30" spans="1:8" ht="15.75" thickBot="1" x14ac:dyDescent="0.3">
      <c r="A30" s="205"/>
      <c r="B30" s="206"/>
      <c r="C30" s="206"/>
      <c r="D30" s="206"/>
      <c r="E30" s="206"/>
      <c r="F30" s="23"/>
      <c r="G30" s="40"/>
      <c r="H30" s="28">
        <f t="shared" si="1"/>
        <v>0</v>
      </c>
    </row>
    <row r="32" spans="1:8" ht="15.75" thickBot="1" x14ac:dyDescent="0.3"/>
    <row r="33" spans="1:20" ht="15.75" thickBot="1" x14ac:dyDescent="0.3">
      <c r="A33" s="245" t="s">
        <v>20</v>
      </c>
      <c r="B33" s="246"/>
      <c r="C33" s="246"/>
      <c r="D33" s="246"/>
      <c r="E33" s="247"/>
      <c r="F33" s="9"/>
      <c r="G33" s="4" t="s">
        <v>0</v>
      </c>
      <c r="H33" s="4" t="s">
        <v>3</v>
      </c>
      <c r="I33" s="4" t="s">
        <v>2</v>
      </c>
      <c r="J33" s="3"/>
      <c r="L33" s="245" t="s">
        <v>21</v>
      </c>
      <c r="M33" s="246"/>
      <c r="N33" s="246"/>
      <c r="O33" s="246"/>
      <c r="P33" s="247"/>
      <c r="Q33" s="9"/>
      <c r="R33" s="17" t="s">
        <v>2</v>
      </c>
      <c r="S33" s="17" t="s">
        <v>23</v>
      </c>
      <c r="T33" s="17" t="s">
        <v>24</v>
      </c>
    </row>
    <row r="34" spans="1:20" ht="15.75" thickBot="1" x14ac:dyDescent="0.3">
      <c r="A34" s="243" t="s">
        <v>1</v>
      </c>
      <c r="B34" s="244"/>
      <c r="C34" s="244"/>
      <c r="D34" s="244"/>
      <c r="E34" s="252"/>
      <c r="F34" s="1"/>
      <c r="G34" s="10">
        <v>173.78</v>
      </c>
      <c r="H34" s="14">
        <v>30</v>
      </c>
      <c r="I34" s="24">
        <f>IF(H34=0,0,G34/H34)</f>
        <v>5.7926666666666664</v>
      </c>
      <c r="L34" s="243" t="s">
        <v>22</v>
      </c>
      <c r="M34" s="244"/>
      <c r="N34" s="244"/>
      <c r="O34" s="244"/>
      <c r="P34" s="252"/>
      <c r="Q34" s="1"/>
      <c r="R34" s="10">
        <v>29</v>
      </c>
      <c r="S34" s="14">
        <v>10</v>
      </c>
      <c r="T34" s="24">
        <f>R34*S34</f>
        <v>290</v>
      </c>
    </row>
    <row r="35" spans="1:20" ht="15.75" thickBot="1" x14ac:dyDescent="0.3">
      <c r="A35" s="203" t="s">
        <v>4</v>
      </c>
      <c r="B35" s="204"/>
      <c r="C35" s="204"/>
      <c r="D35" s="204"/>
      <c r="E35" s="248"/>
      <c r="F35" s="2"/>
      <c r="G35" s="11">
        <v>131.66999999999999</v>
      </c>
      <c r="H35" s="14">
        <v>144</v>
      </c>
      <c r="I35" s="24">
        <f t="shared" ref="I35:I55" si="2">IF(H35=0,0,G35/H35)</f>
        <v>0.91437499999999994</v>
      </c>
      <c r="L35" s="203" t="s">
        <v>25</v>
      </c>
      <c r="M35" s="204"/>
      <c r="N35" s="204"/>
      <c r="O35" s="204"/>
      <c r="P35" s="248"/>
      <c r="Q35" s="2"/>
      <c r="R35" s="11">
        <v>31</v>
      </c>
      <c r="S35" s="14">
        <v>2</v>
      </c>
      <c r="T35" s="24">
        <f t="shared" ref="T35:T55" si="3">R35*S35</f>
        <v>62</v>
      </c>
    </row>
    <row r="36" spans="1:20" ht="15.75" thickBot="1" x14ac:dyDescent="0.3">
      <c r="A36" s="203" t="s">
        <v>5</v>
      </c>
      <c r="B36" s="204"/>
      <c r="C36" s="204"/>
      <c r="D36" s="204"/>
      <c r="E36" s="248"/>
      <c r="F36" s="2"/>
      <c r="G36" s="11">
        <v>40.22</v>
      </c>
      <c r="H36" s="14">
        <v>1</v>
      </c>
      <c r="I36" s="24">
        <f t="shared" si="2"/>
        <v>40.22</v>
      </c>
      <c r="L36" s="203" t="s">
        <v>26</v>
      </c>
      <c r="M36" s="204"/>
      <c r="N36" s="204"/>
      <c r="O36" s="204"/>
      <c r="P36" s="248"/>
      <c r="Q36" s="2"/>
      <c r="R36" s="11">
        <v>69</v>
      </c>
      <c r="S36" s="14">
        <v>5</v>
      </c>
      <c r="T36" s="24">
        <f t="shared" si="3"/>
        <v>345</v>
      </c>
    </row>
    <row r="37" spans="1:20" ht="15.75" thickBot="1" x14ac:dyDescent="0.3">
      <c r="A37" s="203" t="s">
        <v>6</v>
      </c>
      <c r="B37" s="204"/>
      <c r="C37" s="204"/>
      <c r="D37" s="204"/>
      <c r="E37" s="248"/>
      <c r="F37" s="2"/>
      <c r="G37" s="11">
        <v>355.45</v>
      </c>
      <c r="H37" s="14">
        <v>5</v>
      </c>
      <c r="I37" s="24">
        <f t="shared" si="2"/>
        <v>71.09</v>
      </c>
      <c r="L37" s="203"/>
      <c r="M37" s="204"/>
      <c r="N37" s="204"/>
      <c r="O37" s="204"/>
      <c r="P37" s="248"/>
      <c r="Q37" s="2"/>
      <c r="R37" s="11"/>
      <c r="S37" s="14"/>
      <c r="T37" s="24">
        <f t="shared" si="3"/>
        <v>0</v>
      </c>
    </row>
    <row r="38" spans="1:20" ht="15.75" thickBot="1" x14ac:dyDescent="0.3">
      <c r="A38" s="203" t="s">
        <v>7</v>
      </c>
      <c r="B38" s="204"/>
      <c r="C38" s="204"/>
      <c r="D38" s="204"/>
      <c r="E38" s="248"/>
      <c r="F38" s="2"/>
      <c r="G38" s="11">
        <v>285.76</v>
      </c>
      <c r="H38" s="14">
        <v>10</v>
      </c>
      <c r="I38" s="24">
        <f t="shared" si="2"/>
        <v>28.576000000000001</v>
      </c>
      <c r="L38" s="203"/>
      <c r="M38" s="204"/>
      <c r="N38" s="204"/>
      <c r="O38" s="204"/>
      <c r="P38" s="248"/>
      <c r="Q38" s="2"/>
      <c r="R38" s="11"/>
      <c r="S38" s="14"/>
      <c r="T38" s="24">
        <f t="shared" si="3"/>
        <v>0</v>
      </c>
    </row>
    <row r="39" spans="1:20" ht="15.75" thickBot="1" x14ac:dyDescent="0.3">
      <c r="A39" s="203" t="s">
        <v>8</v>
      </c>
      <c r="B39" s="204"/>
      <c r="C39" s="204"/>
      <c r="D39" s="204"/>
      <c r="E39" s="248"/>
      <c r="F39" s="2"/>
      <c r="G39" s="11">
        <v>14.47</v>
      </c>
      <c r="H39" s="14">
        <v>40</v>
      </c>
      <c r="I39" s="24">
        <f t="shared" si="2"/>
        <v>0.36175000000000002</v>
      </c>
      <c r="L39" s="203"/>
      <c r="M39" s="204"/>
      <c r="N39" s="204"/>
      <c r="O39" s="204"/>
      <c r="P39" s="248"/>
      <c r="Q39" s="2"/>
      <c r="R39" s="11"/>
      <c r="S39" s="14"/>
      <c r="T39" s="24">
        <f t="shared" si="3"/>
        <v>0</v>
      </c>
    </row>
    <row r="40" spans="1:20" ht="15.75" thickBot="1" x14ac:dyDescent="0.3">
      <c r="A40" s="203" t="s">
        <v>9</v>
      </c>
      <c r="B40" s="204"/>
      <c r="C40" s="204"/>
      <c r="D40" s="204"/>
      <c r="E40" s="248"/>
      <c r="F40" s="2"/>
      <c r="G40" s="11">
        <v>27.06</v>
      </c>
      <c r="H40" s="14">
        <v>100</v>
      </c>
      <c r="I40" s="24">
        <f t="shared" si="2"/>
        <v>0.27060000000000001</v>
      </c>
      <c r="L40" s="203"/>
      <c r="M40" s="204"/>
      <c r="N40" s="204"/>
      <c r="O40" s="204"/>
      <c r="P40" s="248"/>
      <c r="Q40" s="2"/>
      <c r="R40" s="11"/>
      <c r="S40" s="14"/>
      <c r="T40" s="24">
        <f t="shared" si="3"/>
        <v>0</v>
      </c>
    </row>
    <row r="41" spans="1:20" ht="15.75" thickBot="1" x14ac:dyDescent="0.3">
      <c r="A41" s="203" t="s">
        <v>10</v>
      </c>
      <c r="B41" s="204"/>
      <c r="C41" s="204"/>
      <c r="D41" s="204"/>
      <c r="E41" s="248"/>
      <c r="F41" s="2"/>
      <c r="G41" s="11">
        <v>22.95</v>
      </c>
      <c r="H41" s="14">
        <v>100</v>
      </c>
      <c r="I41" s="24">
        <f t="shared" si="2"/>
        <v>0.22949999999999998</v>
      </c>
      <c r="L41" s="203"/>
      <c r="M41" s="204"/>
      <c r="N41" s="204"/>
      <c r="O41" s="204"/>
      <c r="P41" s="248"/>
      <c r="Q41" s="2"/>
      <c r="R41" s="11"/>
      <c r="S41" s="14"/>
      <c r="T41" s="24">
        <f t="shared" si="3"/>
        <v>0</v>
      </c>
    </row>
    <row r="42" spans="1:20" ht="15.75" thickBot="1" x14ac:dyDescent="0.3">
      <c r="A42" s="203" t="s">
        <v>11</v>
      </c>
      <c r="B42" s="204"/>
      <c r="C42" s="204"/>
      <c r="D42" s="204"/>
      <c r="E42" s="248"/>
      <c r="F42" s="2"/>
      <c r="G42" s="11">
        <v>101.01</v>
      </c>
      <c r="H42" s="14">
        <v>120</v>
      </c>
      <c r="I42" s="24">
        <f t="shared" si="2"/>
        <v>0.84175</v>
      </c>
      <c r="L42" s="203"/>
      <c r="M42" s="204"/>
      <c r="N42" s="204"/>
      <c r="O42" s="204"/>
      <c r="P42" s="248"/>
      <c r="Q42" s="2"/>
      <c r="R42" s="11"/>
      <c r="S42" s="14"/>
      <c r="T42" s="24">
        <f t="shared" si="3"/>
        <v>0</v>
      </c>
    </row>
    <row r="43" spans="1:20" ht="15.75" thickBot="1" x14ac:dyDescent="0.3">
      <c r="A43" s="203" t="s">
        <v>12</v>
      </c>
      <c r="B43" s="204"/>
      <c r="C43" s="204"/>
      <c r="D43" s="204"/>
      <c r="E43" s="248"/>
      <c r="F43" s="2"/>
      <c r="G43" s="11">
        <v>1223.26</v>
      </c>
      <c r="H43" s="16">
        <v>3000</v>
      </c>
      <c r="I43" s="24">
        <f t="shared" si="2"/>
        <v>0.40775333333333336</v>
      </c>
      <c r="J43" s="259" t="s">
        <v>13</v>
      </c>
      <c r="K43" s="260"/>
      <c r="L43" s="203"/>
      <c r="M43" s="204"/>
      <c r="N43" s="204"/>
      <c r="O43" s="204"/>
      <c r="P43" s="248"/>
      <c r="Q43" s="2"/>
      <c r="R43" s="11"/>
      <c r="S43" s="16"/>
      <c r="T43" s="24">
        <f t="shared" si="3"/>
        <v>0</v>
      </c>
    </row>
    <row r="44" spans="1:20" ht="15.75" thickBot="1" x14ac:dyDescent="0.3">
      <c r="A44" s="203" t="s">
        <v>14</v>
      </c>
      <c r="B44" s="204"/>
      <c r="C44" s="204"/>
      <c r="D44" s="204"/>
      <c r="E44" s="248"/>
      <c r="F44" s="2"/>
      <c r="G44" s="11">
        <v>89.62</v>
      </c>
      <c r="H44" s="14">
        <v>1</v>
      </c>
      <c r="I44" s="24">
        <f t="shared" si="2"/>
        <v>89.62</v>
      </c>
      <c r="L44" s="29"/>
      <c r="M44" s="30"/>
      <c r="N44" s="30"/>
      <c r="O44" s="30"/>
      <c r="P44" s="31"/>
      <c r="Q44" s="2"/>
      <c r="R44" s="11"/>
      <c r="S44" s="14"/>
      <c r="T44" s="24">
        <f t="shared" si="3"/>
        <v>0</v>
      </c>
    </row>
    <row r="45" spans="1:20" ht="15.75" thickBot="1" x14ac:dyDescent="0.3">
      <c r="A45" s="203" t="s">
        <v>15</v>
      </c>
      <c r="B45" s="204"/>
      <c r="C45" s="204"/>
      <c r="D45" s="204"/>
      <c r="E45" s="248"/>
      <c r="F45" s="2"/>
      <c r="G45" s="11">
        <v>26.71</v>
      </c>
      <c r="H45" s="14">
        <v>0</v>
      </c>
      <c r="I45" s="24">
        <f t="shared" si="2"/>
        <v>0</v>
      </c>
      <c r="L45" s="29"/>
      <c r="M45" s="30"/>
      <c r="N45" s="30"/>
      <c r="O45" s="30"/>
      <c r="P45" s="31"/>
      <c r="Q45" s="2"/>
      <c r="R45" s="11"/>
      <c r="S45" s="14"/>
      <c r="T45" s="24">
        <f t="shared" si="3"/>
        <v>0</v>
      </c>
    </row>
    <row r="46" spans="1:20" ht="15.75" thickBot="1" x14ac:dyDescent="0.3">
      <c r="A46" s="203" t="s">
        <v>16</v>
      </c>
      <c r="B46" s="204"/>
      <c r="C46" s="204"/>
      <c r="D46" s="204"/>
      <c r="E46" s="248"/>
      <c r="F46" s="2"/>
      <c r="G46" s="11">
        <v>151.31</v>
      </c>
      <c r="H46" s="14">
        <v>1000</v>
      </c>
      <c r="I46" s="24">
        <f t="shared" si="2"/>
        <v>0.15131</v>
      </c>
      <c r="L46" s="29"/>
      <c r="M46" s="30"/>
      <c r="N46" s="30"/>
      <c r="O46" s="30"/>
      <c r="P46" s="31"/>
      <c r="Q46" s="2"/>
      <c r="R46" s="11"/>
      <c r="S46" s="14"/>
      <c r="T46" s="24">
        <f t="shared" si="3"/>
        <v>0</v>
      </c>
    </row>
    <row r="47" spans="1:20" ht="15.75" thickBot="1" x14ac:dyDescent="0.3">
      <c r="A47" s="203" t="s">
        <v>17</v>
      </c>
      <c r="B47" s="204"/>
      <c r="C47" s="204"/>
      <c r="D47" s="204"/>
      <c r="E47" s="248"/>
      <c r="F47" s="2"/>
      <c r="G47" s="11">
        <v>319.10000000000002</v>
      </c>
      <c r="H47" s="14">
        <v>20</v>
      </c>
      <c r="I47" s="24">
        <f t="shared" si="2"/>
        <v>15.955000000000002</v>
      </c>
      <c r="L47" s="29"/>
      <c r="M47" s="30"/>
      <c r="N47" s="30"/>
      <c r="O47" s="30"/>
      <c r="P47" s="31"/>
      <c r="Q47" s="2"/>
      <c r="R47" s="11"/>
      <c r="S47" s="14"/>
      <c r="T47" s="24">
        <f t="shared" si="3"/>
        <v>0</v>
      </c>
    </row>
    <row r="48" spans="1:20" ht="15.75" thickBot="1" x14ac:dyDescent="0.3">
      <c r="A48" s="203" t="s">
        <v>18</v>
      </c>
      <c r="B48" s="204"/>
      <c r="C48" s="204"/>
      <c r="D48" s="204"/>
      <c r="E48" s="248"/>
      <c r="F48" s="2"/>
      <c r="G48" s="11">
        <v>119</v>
      </c>
      <c r="H48" s="14">
        <v>100</v>
      </c>
      <c r="I48" s="24">
        <f t="shared" si="2"/>
        <v>1.19</v>
      </c>
      <c r="L48" s="29"/>
      <c r="M48" s="30"/>
      <c r="N48" s="30"/>
      <c r="O48" s="30"/>
      <c r="P48" s="31"/>
      <c r="Q48" s="2"/>
      <c r="R48" s="11"/>
      <c r="S48" s="14"/>
      <c r="T48" s="24">
        <f t="shared" si="3"/>
        <v>0</v>
      </c>
    </row>
    <row r="49" spans="1:20" ht="15.75" thickBot="1" x14ac:dyDescent="0.3">
      <c r="A49" s="203" t="s">
        <v>19</v>
      </c>
      <c r="B49" s="204"/>
      <c r="C49" s="204"/>
      <c r="D49" s="204"/>
      <c r="E49" s="248"/>
      <c r="F49" s="7"/>
      <c r="G49" s="12">
        <v>34.32</v>
      </c>
      <c r="H49" s="14">
        <v>1</v>
      </c>
      <c r="I49" s="24">
        <f t="shared" si="2"/>
        <v>34.32</v>
      </c>
      <c r="L49" s="29"/>
      <c r="M49" s="30"/>
      <c r="N49" s="30"/>
      <c r="O49" s="30"/>
      <c r="P49" s="31"/>
      <c r="Q49" s="7"/>
      <c r="R49" s="12"/>
      <c r="S49" s="14"/>
      <c r="T49" s="24">
        <f t="shared" si="3"/>
        <v>0</v>
      </c>
    </row>
    <row r="50" spans="1:20" ht="15.75" thickBot="1" x14ac:dyDescent="0.3">
      <c r="A50" s="203" t="s">
        <v>258</v>
      </c>
      <c r="B50" s="204"/>
      <c r="C50" s="204"/>
      <c r="D50" s="204"/>
      <c r="E50" s="248"/>
      <c r="F50" s="8"/>
      <c r="G50" s="11">
        <v>79.53</v>
      </c>
      <c r="H50" s="14">
        <v>20</v>
      </c>
      <c r="I50" s="24">
        <f t="shared" si="2"/>
        <v>3.9765000000000001</v>
      </c>
      <c r="L50" s="203"/>
      <c r="M50" s="204"/>
      <c r="N50" s="204"/>
      <c r="O50" s="204"/>
      <c r="P50" s="248"/>
      <c r="Q50" s="8"/>
      <c r="R50" s="11"/>
      <c r="S50" s="14"/>
      <c r="T50" s="24">
        <f t="shared" si="3"/>
        <v>0</v>
      </c>
    </row>
    <row r="51" spans="1:20" ht="15.75" thickBot="1" x14ac:dyDescent="0.3">
      <c r="A51" s="203" t="s">
        <v>58</v>
      </c>
      <c r="B51" s="204"/>
      <c r="C51" s="204"/>
      <c r="D51" s="204"/>
      <c r="E51" s="248"/>
      <c r="F51" s="5"/>
      <c r="G51" s="11">
        <v>43.34</v>
      </c>
      <c r="H51" s="14">
        <v>100</v>
      </c>
      <c r="I51" s="24">
        <f t="shared" si="2"/>
        <v>0.43340000000000001</v>
      </c>
      <c r="L51" s="203"/>
      <c r="M51" s="204"/>
      <c r="N51" s="204"/>
      <c r="O51" s="204"/>
      <c r="P51" s="248"/>
      <c r="Q51" s="5"/>
      <c r="R51" s="11"/>
      <c r="S51" s="14"/>
      <c r="T51" s="24">
        <f t="shared" si="3"/>
        <v>0</v>
      </c>
    </row>
    <row r="52" spans="1:20" ht="15.75" thickBot="1" x14ac:dyDescent="0.3">
      <c r="A52" s="203" t="s">
        <v>60</v>
      </c>
      <c r="B52" s="204"/>
      <c r="C52" s="204"/>
      <c r="D52" s="204"/>
      <c r="E52" s="248"/>
      <c r="F52" s="5"/>
      <c r="G52" s="11">
        <v>69.72</v>
      </c>
      <c r="H52" s="14">
        <v>20</v>
      </c>
      <c r="I52" s="24">
        <f t="shared" si="2"/>
        <v>3.4859999999999998</v>
      </c>
      <c r="L52" s="203"/>
      <c r="M52" s="204"/>
      <c r="N52" s="204"/>
      <c r="O52" s="204"/>
      <c r="P52" s="248"/>
      <c r="Q52" s="5"/>
      <c r="R52" s="11"/>
      <c r="S52" s="14"/>
      <c r="T52" s="24">
        <f t="shared" si="3"/>
        <v>0</v>
      </c>
    </row>
    <row r="53" spans="1:20" ht="15.75" thickBot="1" x14ac:dyDescent="0.3">
      <c r="A53" s="203"/>
      <c r="B53" s="204"/>
      <c r="C53" s="204"/>
      <c r="D53" s="204"/>
      <c r="E53" s="248"/>
      <c r="F53" s="5"/>
      <c r="G53" s="11"/>
      <c r="H53" s="14"/>
      <c r="I53" s="24">
        <f t="shared" si="2"/>
        <v>0</v>
      </c>
      <c r="L53" s="203"/>
      <c r="M53" s="204"/>
      <c r="N53" s="204"/>
      <c r="O53" s="204"/>
      <c r="P53" s="248"/>
      <c r="Q53" s="5"/>
      <c r="R53" s="11"/>
      <c r="S53" s="14"/>
      <c r="T53" s="24">
        <f t="shared" si="3"/>
        <v>0</v>
      </c>
    </row>
    <row r="54" spans="1:20" ht="15.75" thickBot="1" x14ac:dyDescent="0.3">
      <c r="A54" s="203"/>
      <c r="B54" s="204"/>
      <c r="C54" s="204"/>
      <c r="D54" s="204"/>
      <c r="E54" s="248"/>
      <c r="F54" s="5"/>
      <c r="G54" s="11"/>
      <c r="H54" s="14"/>
      <c r="I54" s="24">
        <f t="shared" si="2"/>
        <v>0</v>
      </c>
      <c r="L54" s="203"/>
      <c r="M54" s="204"/>
      <c r="N54" s="204"/>
      <c r="O54" s="204"/>
      <c r="P54" s="248"/>
      <c r="Q54" s="5"/>
      <c r="R54" s="11"/>
      <c r="S54" s="14"/>
      <c r="T54" s="24">
        <f t="shared" si="3"/>
        <v>0</v>
      </c>
    </row>
    <row r="55" spans="1:20" ht="15.75" thickBot="1" x14ac:dyDescent="0.3">
      <c r="A55" s="205"/>
      <c r="B55" s="206"/>
      <c r="C55" s="206"/>
      <c r="D55" s="206"/>
      <c r="E55" s="249"/>
      <c r="F55" s="6"/>
      <c r="G55" s="13"/>
      <c r="H55" s="15"/>
      <c r="I55" s="24">
        <f t="shared" si="2"/>
        <v>0</v>
      </c>
      <c r="L55" s="205"/>
      <c r="M55" s="206"/>
      <c r="N55" s="206"/>
      <c r="O55" s="206"/>
      <c r="P55" s="249"/>
      <c r="Q55" s="6"/>
      <c r="R55" s="13"/>
      <c r="S55" s="15"/>
      <c r="T55" s="24">
        <f t="shared" si="3"/>
        <v>0</v>
      </c>
    </row>
    <row r="56" spans="1:20" ht="15.75" thickBot="1" x14ac:dyDescent="0.3">
      <c r="A56" s="32" t="s">
        <v>27</v>
      </c>
      <c r="B56" s="33"/>
      <c r="C56" s="33"/>
      <c r="D56" s="33"/>
      <c r="E56" s="34"/>
      <c r="F56" s="9"/>
      <c r="G56" s="19">
        <f>G34+G35+G36+G37+G38+G39+G40+G41+G42+G43+G44+G45+G46+G47+G48+G49+G50+G51+G52+G53+G54+G55</f>
        <v>3308.28</v>
      </c>
      <c r="H56" s="20">
        <f>H34+H35+H36+H37+H38+H39+H40+H41+H42+H43+H44+H45+H46+H47+H48+H49+H50+H51+H52+H53+H54+H55</f>
        <v>4812</v>
      </c>
      <c r="I56" s="18">
        <f>I34+I35+I36+I37+I38+I39+I40+I41+I42+I43+I44+I45+I46+I47+I48+I49+I50+I51+I52+I53+I54+I55</f>
        <v>297.83660500000002</v>
      </c>
      <c r="L56" s="32" t="s">
        <v>27</v>
      </c>
      <c r="M56" s="33"/>
      <c r="N56" s="33"/>
      <c r="O56" s="33"/>
      <c r="P56" s="34"/>
      <c r="Q56" s="9"/>
      <c r="R56" s="19">
        <f>R34+R35+R36+R37+R38+R39+R40+R41+R42+R43+R44+R45+R46+R47+R48+R49+R50+R51+R52+R53+R54+R55</f>
        <v>129</v>
      </c>
      <c r="S56" s="20">
        <f>S34+S35+S36+S37+S38+S39+S40+S41+S42+S43+S44+S45+S46+S47+S48+S49+S50+S51+S52+S53+S54+S55</f>
        <v>17</v>
      </c>
      <c r="T56" s="18">
        <f>T34+T36+T35+T37+T38+T39+T40+T41+T43+T42+T44+T45+T46+T47+T48+T49+T50+T51+T53+T52+T54+T55</f>
        <v>697</v>
      </c>
    </row>
    <row r="58" spans="1:20" ht="15.75" thickBot="1" x14ac:dyDescent="0.3"/>
    <row r="59" spans="1:20" ht="15.75" thickBot="1" x14ac:dyDescent="0.3">
      <c r="A59" s="245" t="s">
        <v>41</v>
      </c>
      <c r="B59" s="246"/>
      <c r="C59" s="246"/>
      <c r="D59" s="246"/>
      <c r="E59" s="247"/>
      <c r="F59" s="41"/>
      <c r="G59" s="253" t="s">
        <v>40</v>
      </c>
      <c r="H59" s="202"/>
    </row>
    <row r="60" spans="1:20" x14ac:dyDescent="0.25">
      <c r="A60" s="243" t="s">
        <v>1</v>
      </c>
      <c r="B60" s="244"/>
      <c r="C60" s="244"/>
      <c r="D60" s="244"/>
      <c r="E60" s="252"/>
      <c r="F60" s="42"/>
      <c r="G60" s="254" t="s">
        <v>273</v>
      </c>
      <c r="H60" s="252"/>
    </row>
    <row r="61" spans="1:20" x14ac:dyDescent="0.25">
      <c r="A61" s="203" t="s">
        <v>4</v>
      </c>
      <c r="B61" s="204"/>
      <c r="C61" s="204"/>
      <c r="D61" s="204"/>
      <c r="E61" s="248"/>
      <c r="F61" s="42"/>
      <c r="G61" s="255" t="s">
        <v>272</v>
      </c>
      <c r="H61" s="248"/>
    </row>
    <row r="62" spans="1:20" x14ac:dyDescent="0.25">
      <c r="A62" s="203" t="s">
        <v>5</v>
      </c>
      <c r="B62" s="204"/>
      <c r="C62" s="204"/>
      <c r="D62" s="204"/>
      <c r="E62" s="248"/>
      <c r="F62" s="42"/>
      <c r="G62" s="255" t="s">
        <v>245</v>
      </c>
      <c r="H62" s="248"/>
    </row>
    <row r="63" spans="1:20" x14ac:dyDescent="0.25">
      <c r="A63" s="203" t="s">
        <v>6</v>
      </c>
      <c r="B63" s="204"/>
      <c r="C63" s="204"/>
      <c r="D63" s="204"/>
      <c r="E63" s="248"/>
      <c r="F63" s="42"/>
      <c r="G63" s="255" t="s">
        <v>246</v>
      </c>
      <c r="H63" s="248"/>
    </row>
    <row r="64" spans="1:20" x14ac:dyDescent="0.25">
      <c r="A64" s="203" t="s">
        <v>7</v>
      </c>
      <c r="B64" s="204"/>
      <c r="C64" s="204"/>
      <c r="D64" s="204"/>
      <c r="E64" s="248"/>
      <c r="F64" s="42"/>
      <c r="G64" s="255" t="s">
        <v>247</v>
      </c>
      <c r="H64" s="248"/>
    </row>
    <row r="65" spans="1:8" x14ac:dyDescent="0.25">
      <c r="A65" s="203" t="s">
        <v>8</v>
      </c>
      <c r="B65" s="204"/>
      <c r="C65" s="204"/>
      <c r="D65" s="204"/>
      <c r="E65" s="248"/>
      <c r="F65" s="42"/>
      <c r="G65" s="255" t="s">
        <v>248</v>
      </c>
      <c r="H65" s="248"/>
    </row>
    <row r="66" spans="1:8" x14ac:dyDescent="0.25">
      <c r="A66" s="203" t="s">
        <v>9</v>
      </c>
      <c r="B66" s="204"/>
      <c r="C66" s="204"/>
      <c r="D66" s="204"/>
      <c r="E66" s="248"/>
      <c r="F66" s="42"/>
      <c r="G66" s="255" t="s">
        <v>249</v>
      </c>
      <c r="H66" s="248"/>
    </row>
    <row r="67" spans="1:8" x14ac:dyDescent="0.25">
      <c r="A67" s="203" t="s">
        <v>10</v>
      </c>
      <c r="B67" s="204"/>
      <c r="C67" s="204"/>
      <c r="D67" s="204"/>
      <c r="E67" s="248"/>
      <c r="F67" s="42"/>
      <c r="G67" s="255" t="s">
        <v>250</v>
      </c>
      <c r="H67" s="248"/>
    </row>
    <row r="68" spans="1:8" x14ac:dyDescent="0.25">
      <c r="A68" s="203" t="s">
        <v>11</v>
      </c>
      <c r="B68" s="204"/>
      <c r="C68" s="204"/>
      <c r="D68" s="204"/>
      <c r="E68" s="248"/>
      <c r="F68" s="42"/>
      <c r="G68" s="255" t="s">
        <v>251</v>
      </c>
      <c r="H68" s="248"/>
    </row>
    <row r="69" spans="1:8" x14ac:dyDescent="0.25">
      <c r="A69" s="203" t="s">
        <v>12</v>
      </c>
      <c r="B69" s="204"/>
      <c r="C69" s="204"/>
      <c r="D69" s="204"/>
      <c r="E69" s="248"/>
      <c r="F69" s="42"/>
      <c r="G69" s="255" t="s">
        <v>252</v>
      </c>
      <c r="H69" s="248"/>
    </row>
    <row r="70" spans="1:8" x14ac:dyDescent="0.25">
      <c r="A70" s="203" t="s">
        <v>14</v>
      </c>
      <c r="B70" s="204"/>
      <c r="C70" s="204"/>
      <c r="D70" s="204"/>
      <c r="E70" s="248"/>
      <c r="F70" s="42"/>
      <c r="G70" s="255" t="s">
        <v>253</v>
      </c>
      <c r="H70" s="248"/>
    </row>
    <row r="71" spans="1:8" x14ac:dyDescent="0.25">
      <c r="A71" s="203" t="s">
        <v>15</v>
      </c>
      <c r="B71" s="204"/>
      <c r="C71" s="204"/>
      <c r="D71" s="204"/>
      <c r="E71" s="248"/>
      <c r="F71" s="42"/>
      <c r="G71" s="255" t="s">
        <v>254</v>
      </c>
      <c r="H71" s="248"/>
    </row>
    <row r="72" spans="1:8" x14ac:dyDescent="0.25">
      <c r="A72" s="203" t="s">
        <v>16</v>
      </c>
      <c r="B72" s="204"/>
      <c r="C72" s="204"/>
      <c r="D72" s="204"/>
      <c r="E72" s="248"/>
      <c r="F72" s="42"/>
      <c r="G72" s="255" t="s">
        <v>255</v>
      </c>
      <c r="H72" s="248"/>
    </row>
    <row r="73" spans="1:8" x14ac:dyDescent="0.25">
      <c r="A73" s="203" t="s">
        <v>17</v>
      </c>
      <c r="B73" s="204"/>
      <c r="C73" s="204"/>
      <c r="D73" s="204"/>
      <c r="E73" s="248"/>
      <c r="F73" s="42"/>
      <c r="G73" s="255" t="s">
        <v>256</v>
      </c>
      <c r="H73" s="248"/>
    </row>
    <row r="74" spans="1:8" x14ac:dyDescent="0.25">
      <c r="A74" s="203" t="s">
        <v>18</v>
      </c>
      <c r="B74" s="204"/>
      <c r="C74" s="204"/>
      <c r="D74" s="204"/>
      <c r="E74" s="248"/>
      <c r="F74" s="42"/>
      <c r="G74" s="255" t="s">
        <v>56</v>
      </c>
      <c r="H74" s="248"/>
    </row>
    <row r="75" spans="1:8" x14ac:dyDescent="0.25">
      <c r="A75" s="203" t="s">
        <v>19</v>
      </c>
      <c r="B75" s="204"/>
      <c r="C75" s="204"/>
      <c r="D75" s="204"/>
      <c r="E75" s="248"/>
      <c r="F75" s="42"/>
      <c r="G75" s="258" t="s">
        <v>257</v>
      </c>
      <c r="H75" s="248"/>
    </row>
    <row r="76" spans="1:8" x14ac:dyDescent="0.25">
      <c r="A76" s="203" t="s">
        <v>244</v>
      </c>
      <c r="B76" s="204"/>
      <c r="C76" s="204"/>
      <c r="D76" s="204"/>
      <c r="E76" s="248"/>
      <c r="F76" s="42"/>
      <c r="G76" s="255" t="s">
        <v>271</v>
      </c>
      <c r="H76" s="248"/>
    </row>
    <row r="77" spans="1:8" x14ac:dyDescent="0.25">
      <c r="A77" s="203" t="s">
        <v>58</v>
      </c>
      <c r="B77" s="204"/>
      <c r="C77" s="204"/>
      <c r="D77" s="204"/>
      <c r="E77" s="248"/>
      <c r="F77" s="42"/>
      <c r="G77" s="255" t="s">
        <v>270</v>
      </c>
      <c r="H77" s="248"/>
    </row>
    <row r="78" spans="1:8" x14ac:dyDescent="0.25">
      <c r="A78" s="203" t="s">
        <v>60</v>
      </c>
      <c r="B78" s="204"/>
      <c r="C78" s="204"/>
      <c r="D78" s="204"/>
      <c r="E78" s="248"/>
      <c r="F78" s="42"/>
      <c r="G78" s="255" t="s">
        <v>269</v>
      </c>
      <c r="H78" s="248"/>
    </row>
    <row r="79" spans="1:8" x14ac:dyDescent="0.25">
      <c r="A79" s="203"/>
      <c r="B79" s="204"/>
      <c r="C79" s="204"/>
      <c r="D79" s="204"/>
      <c r="E79" s="248"/>
      <c r="F79" s="42"/>
      <c r="G79" s="203"/>
      <c r="H79" s="248"/>
    </row>
    <row r="80" spans="1:8" x14ac:dyDescent="0.25">
      <c r="A80" s="203"/>
      <c r="B80" s="204"/>
      <c r="C80" s="204"/>
      <c r="D80" s="204"/>
      <c r="E80" s="248"/>
      <c r="F80" s="42"/>
      <c r="G80" s="203"/>
      <c r="H80" s="248"/>
    </row>
    <row r="81" spans="1:8" ht="15.75" thickBot="1" x14ac:dyDescent="0.3">
      <c r="A81" s="205"/>
      <c r="B81" s="206"/>
      <c r="C81" s="206"/>
      <c r="D81" s="206"/>
      <c r="E81" s="249"/>
      <c r="F81" s="43"/>
      <c r="G81" s="205"/>
      <c r="H81" s="249"/>
    </row>
  </sheetData>
  <mergeCells count="135">
    <mergeCell ref="L4:M4"/>
    <mergeCell ref="L43:P43"/>
    <mergeCell ref="A77:E77"/>
    <mergeCell ref="A78:E78"/>
    <mergeCell ref="A72:E72"/>
    <mergeCell ref="A73:E73"/>
    <mergeCell ref="K13:L13"/>
    <mergeCell ref="M13:N13"/>
    <mergeCell ref="G72:H72"/>
    <mergeCell ref="G73:H73"/>
    <mergeCell ref="G74:H74"/>
    <mergeCell ref="G75:H75"/>
    <mergeCell ref="G76:H76"/>
    <mergeCell ref="G77:H77"/>
    <mergeCell ref="G78:H78"/>
    <mergeCell ref="J43:K43"/>
    <mergeCell ref="L33:P33"/>
    <mergeCell ref="L34:P34"/>
    <mergeCell ref="L35:P35"/>
    <mergeCell ref="L36:P36"/>
    <mergeCell ref="L37:P37"/>
    <mergeCell ref="L38:P38"/>
    <mergeCell ref="L39:P39"/>
    <mergeCell ref="L40:P40"/>
    <mergeCell ref="L41:P41"/>
    <mergeCell ref="L42:P42"/>
    <mergeCell ref="G79:H79"/>
    <mergeCell ref="G80:H80"/>
    <mergeCell ref="A62:E62"/>
    <mergeCell ref="A63:E63"/>
    <mergeCell ref="G81:H81"/>
    <mergeCell ref="A79:E79"/>
    <mergeCell ref="A80:E80"/>
    <mergeCell ref="A81:E81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A74:E74"/>
    <mergeCell ref="A75:E75"/>
    <mergeCell ref="A76:E76"/>
    <mergeCell ref="A71:E71"/>
    <mergeCell ref="L50:P50"/>
    <mergeCell ref="L55:P55"/>
    <mergeCell ref="L54:P54"/>
    <mergeCell ref="L53:P53"/>
    <mergeCell ref="L52:P52"/>
    <mergeCell ref="L51:P51"/>
    <mergeCell ref="A59:E59"/>
    <mergeCell ref="A60:E60"/>
    <mergeCell ref="A61:E61"/>
    <mergeCell ref="A64:E64"/>
    <mergeCell ref="A65:E65"/>
    <mergeCell ref="A66:E66"/>
    <mergeCell ref="A67:E67"/>
    <mergeCell ref="A68:E68"/>
    <mergeCell ref="A44:E44"/>
    <mergeCell ref="A45:E45"/>
    <mergeCell ref="A34:E34"/>
    <mergeCell ref="A50:E50"/>
    <mergeCell ref="A49:E49"/>
    <mergeCell ref="A48:E48"/>
    <mergeCell ref="A47:E47"/>
    <mergeCell ref="A69:E69"/>
    <mergeCell ref="A70:E70"/>
    <mergeCell ref="A13:E13"/>
    <mergeCell ref="A14:E14"/>
    <mergeCell ref="A15:E15"/>
    <mergeCell ref="A8:E8"/>
    <mergeCell ref="A9:E9"/>
    <mergeCell ref="A10:E10"/>
    <mergeCell ref="A46:E46"/>
    <mergeCell ref="A55:E55"/>
    <mergeCell ref="A54:E54"/>
    <mergeCell ref="A53:E53"/>
    <mergeCell ref="A52:E52"/>
    <mergeCell ref="A51:E51"/>
    <mergeCell ref="A16:E16"/>
    <mergeCell ref="A17:E17"/>
    <mergeCell ref="A18:E18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20:E20"/>
    <mergeCell ref="A19:E19"/>
    <mergeCell ref="A33:E33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H1:I1"/>
    <mergeCell ref="A4:E4"/>
    <mergeCell ref="A5:E5"/>
    <mergeCell ref="A6:E6"/>
    <mergeCell ref="A7:E7"/>
    <mergeCell ref="K12:L12"/>
    <mergeCell ref="M12:N12"/>
    <mergeCell ref="J1:M1"/>
    <mergeCell ref="J2:K2"/>
    <mergeCell ref="L2:M2"/>
    <mergeCell ref="J3:K3"/>
    <mergeCell ref="L3:M3"/>
    <mergeCell ref="K9:L9"/>
    <mergeCell ref="M9:N9"/>
    <mergeCell ref="K10:L10"/>
    <mergeCell ref="M10:N10"/>
    <mergeCell ref="K11:L11"/>
    <mergeCell ref="M11:N11"/>
    <mergeCell ref="A1:E1"/>
    <mergeCell ref="A2:E2"/>
    <mergeCell ref="A3:E3"/>
    <mergeCell ref="A11:E11"/>
    <mergeCell ref="A12:E12"/>
    <mergeCell ref="J4:K4"/>
  </mergeCells>
  <hyperlinks>
    <hyperlink ref="G74" r:id="rId1" xr:uid="{DA0A50EB-446D-441C-899D-7E915D453B7F}"/>
    <hyperlink ref="G63" r:id="rId2" xr:uid="{5E1E154E-57E2-4F80-ACA3-6133FF81FFD4}"/>
    <hyperlink ref="G78" r:id="rId3" xr:uid="{2FF2AD1D-9076-407F-B97C-F315A906FBB5}"/>
    <hyperlink ref="G77" r:id="rId4" xr:uid="{6EF04667-EF7D-4029-95C0-BDC66377C11A}"/>
    <hyperlink ref="G76" r:id="rId5" xr:uid="{5C49A891-FB9D-4A4E-B904-A84E9D15DC9F}"/>
    <hyperlink ref="G61" r:id="rId6" xr:uid="{86CDCDC9-CBE1-4D0A-8CE8-1116A2B8E647}"/>
    <hyperlink ref="G60" r:id="rId7" xr:uid="{8EC11366-1AB1-4904-BA38-E4F322E3FA30}"/>
  </hyperlinks>
  <pageMargins left="0.7" right="0.7" top="0.78740157499999996" bottom="0.78740157499999996" header="0.3" footer="0.3"/>
  <pageSetup paperSize="9" orientation="portrait" horizontalDpi="360" verticalDpi="360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6A16-26E1-4BB8-AB79-5E45A80EB340}">
  <dimension ref="A1:T81"/>
  <sheetViews>
    <sheetView zoomScale="88" zoomScaleNormal="70" workbookViewId="0">
      <selection activeCell="M23" sqref="M23"/>
    </sheetView>
  </sheetViews>
  <sheetFormatPr defaultRowHeight="15" x14ac:dyDescent="0.25"/>
  <cols>
    <col min="6" max="6" width="2.5703125" customWidth="1"/>
    <col min="7" max="7" width="12.85546875" customWidth="1"/>
    <col min="8" max="8" width="13.5703125" customWidth="1"/>
    <col min="9" max="9" width="13.140625" customWidth="1"/>
    <col min="10" max="10" width="9.140625" customWidth="1"/>
    <col min="11" max="11" width="8.85546875" customWidth="1"/>
    <col min="17" max="17" width="2.7109375" customWidth="1"/>
    <col min="18" max="18" width="16.28515625" customWidth="1"/>
    <col min="19" max="19" width="27.140625" customWidth="1"/>
    <col min="20" max="20" width="17.28515625" customWidth="1"/>
  </cols>
  <sheetData>
    <row r="1" spans="1:18" ht="16.5" thickBot="1" x14ac:dyDescent="0.3">
      <c r="A1" s="239" t="s">
        <v>38</v>
      </c>
      <c r="B1" s="240"/>
      <c r="C1" s="240"/>
      <c r="D1" s="240"/>
      <c r="E1" s="241"/>
      <c r="F1" s="25"/>
      <c r="G1" s="26" t="s">
        <v>29</v>
      </c>
      <c r="H1" s="124">
        <f ca="1">TODAY()</f>
        <v>46157</v>
      </c>
      <c r="I1" s="125"/>
      <c r="J1" s="137" t="s">
        <v>33</v>
      </c>
      <c r="K1" s="138"/>
      <c r="L1" s="138"/>
      <c r="M1" s="139"/>
    </row>
    <row r="2" spans="1:18" ht="15.75" thickBot="1" x14ac:dyDescent="0.3">
      <c r="A2" s="228" t="s">
        <v>28</v>
      </c>
      <c r="B2" s="242"/>
      <c r="C2" s="242"/>
      <c r="D2" s="242"/>
      <c r="E2" s="242"/>
      <c r="F2" s="21"/>
      <c r="G2" s="38" t="s">
        <v>30</v>
      </c>
      <c r="H2" s="27" t="s">
        <v>0</v>
      </c>
      <c r="J2" s="228" t="s">
        <v>32</v>
      </c>
      <c r="K2" s="229"/>
      <c r="L2" s="230">
        <v>0.5</v>
      </c>
      <c r="M2" s="231"/>
    </row>
    <row r="3" spans="1:18" ht="15.75" thickBot="1" x14ac:dyDescent="0.3">
      <c r="A3" s="243" t="s">
        <v>1</v>
      </c>
      <c r="B3" s="244"/>
      <c r="C3" s="244"/>
      <c r="D3" s="244"/>
      <c r="E3" s="244"/>
      <c r="F3" s="22"/>
      <c r="G3" s="39">
        <v>20</v>
      </c>
      <c r="H3" s="28">
        <f t="shared" ref="H3:H20" si="0">G3*I34</f>
        <v>181.63636363636363</v>
      </c>
      <c r="J3" s="228" t="s">
        <v>37</v>
      </c>
      <c r="K3" s="229"/>
      <c r="L3" s="232">
        <v>0.15</v>
      </c>
      <c r="M3" s="231"/>
    </row>
    <row r="4" spans="1:18" ht="15.75" thickBot="1" x14ac:dyDescent="0.3">
      <c r="A4" s="203" t="s">
        <v>4</v>
      </c>
      <c r="B4" s="204"/>
      <c r="C4" s="204"/>
      <c r="D4" s="204"/>
      <c r="E4" s="204"/>
      <c r="F4" s="22"/>
      <c r="G4" s="39">
        <v>20</v>
      </c>
      <c r="H4" s="28">
        <f t="shared" si="0"/>
        <v>45.555555555555557</v>
      </c>
      <c r="N4" s="261"/>
      <c r="O4" s="261"/>
      <c r="P4" s="261"/>
      <c r="Q4" s="261"/>
      <c r="R4" s="261"/>
    </row>
    <row r="5" spans="1:18" ht="15.75" thickBot="1" x14ac:dyDescent="0.3">
      <c r="A5" s="203" t="s">
        <v>5</v>
      </c>
      <c r="B5" s="204"/>
      <c r="C5" s="204"/>
      <c r="D5" s="204"/>
      <c r="E5" s="204"/>
      <c r="F5" s="22"/>
      <c r="G5" s="39">
        <v>1</v>
      </c>
      <c r="H5" s="28">
        <f t="shared" si="0"/>
        <v>91</v>
      </c>
    </row>
    <row r="6" spans="1:18" ht="15.75" thickBot="1" x14ac:dyDescent="0.3">
      <c r="A6" s="203" t="s">
        <v>6</v>
      </c>
      <c r="B6" s="204"/>
      <c r="C6" s="204"/>
      <c r="D6" s="204"/>
      <c r="E6" s="204"/>
      <c r="F6" s="22"/>
      <c r="G6" s="39">
        <v>1</v>
      </c>
      <c r="H6" s="28">
        <f t="shared" si="0"/>
        <v>23.81</v>
      </c>
    </row>
    <row r="7" spans="1:18" ht="15.75" thickBot="1" x14ac:dyDescent="0.3">
      <c r="A7" s="203" t="s">
        <v>7</v>
      </c>
      <c r="B7" s="204"/>
      <c r="C7" s="204"/>
      <c r="D7" s="204"/>
      <c r="E7" s="204"/>
      <c r="F7" s="22"/>
      <c r="G7" s="39">
        <v>1</v>
      </c>
      <c r="H7" s="28">
        <f t="shared" si="0"/>
        <v>28</v>
      </c>
    </row>
    <row r="8" spans="1:18" ht="15.75" thickBot="1" x14ac:dyDescent="0.3">
      <c r="A8" s="203" t="s">
        <v>8</v>
      </c>
      <c r="B8" s="204"/>
      <c r="C8" s="204"/>
      <c r="D8" s="204"/>
      <c r="E8" s="204"/>
      <c r="F8" s="22"/>
      <c r="G8" s="39">
        <v>20</v>
      </c>
      <c r="H8" s="28">
        <f t="shared" si="0"/>
        <v>17.5</v>
      </c>
    </row>
    <row r="9" spans="1:18" ht="15.75" thickBot="1" x14ac:dyDescent="0.3">
      <c r="A9" s="203" t="s">
        <v>9</v>
      </c>
      <c r="B9" s="204"/>
      <c r="C9" s="204"/>
      <c r="D9" s="204"/>
      <c r="E9" s="204"/>
      <c r="F9" s="22"/>
      <c r="G9" s="39"/>
      <c r="H9" s="28">
        <f t="shared" si="0"/>
        <v>0</v>
      </c>
      <c r="K9" s="233" t="s">
        <v>31</v>
      </c>
      <c r="L9" s="234"/>
      <c r="M9" s="235">
        <f>H3+H4+H5+H6+H7+H8+H9+H10+H11+H12+H13+H14+H15+H16+H17+H18+H19+H20+H21+H22+H23+H24+H25+H26+H27+H28+H29+H30</f>
        <v>853.33691919191915</v>
      </c>
      <c r="N9" s="236"/>
    </row>
    <row r="10" spans="1:18" ht="15.75" thickBot="1" x14ac:dyDescent="0.3">
      <c r="A10" s="203" t="s">
        <v>10</v>
      </c>
      <c r="B10" s="204"/>
      <c r="C10" s="204"/>
      <c r="D10" s="204"/>
      <c r="E10" s="204"/>
      <c r="F10" s="22"/>
      <c r="G10" s="39"/>
      <c r="H10" s="28">
        <f t="shared" si="0"/>
        <v>0</v>
      </c>
      <c r="K10" s="233" t="s">
        <v>34</v>
      </c>
      <c r="L10" s="234"/>
      <c r="M10" s="237">
        <f>M9*(1+L2)</f>
        <v>1280.0053787878787</v>
      </c>
      <c r="N10" s="238"/>
    </row>
    <row r="11" spans="1:18" ht="15.75" thickBot="1" x14ac:dyDescent="0.3">
      <c r="A11" s="203" t="s">
        <v>11</v>
      </c>
      <c r="B11" s="204"/>
      <c r="C11" s="204"/>
      <c r="D11" s="204"/>
      <c r="E11" s="204"/>
      <c r="F11" s="22"/>
      <c r="G11" s="39"/>
      <c r="H11" s="28">
        <f t="shared" si="0"/>
        <v>0</v>
      </c>
      <c r="K11" s="233" t="s">
        <v>35</v>
      </c>
      <c r="L11" s="234"/>
      <c r="M11" s="235">
        <f>M13-M9</f>
        <v>445.66308080808085</v>
      </c>
      <c r="N11" s="236"/>
    </row>
    <row r="12" spans="1:18" ht="15.75" thickBot="1" x14ac:dyDescent="0.3">
      <c r="A12" s="203" t="s">
        <v>104</v>
      </c>
      <c r="B12" s="204"/>
      <c r="C12" s="204"/>
      <c r="D12" s="204"/>
      <c r="E12" s="248"/>
      <c r="F12" s="22"/>
      <c r="G12" s="39">
        <v>250</v>
      </c>
      <c r="H12" s="28">
        <f t="shared" si="0"/>
        <v>163.75</v>
      </c>
      <c r="K12" s="225" t="s">
        <v>36</v>
      </c>
      <c r="L12" s="226"/>
      <c r="M12" s="158">
        <f>M11*(1-L3)</f>
        <v>378.81361868686872</v>
      </c>
      <c r="N12" s="227"/>
    </row>
    <row r="13" spans="1:18" ht="15.75" thickBot="1" x14ac:dyDescent="0.3">
      <c r="A13" s="203" t="s">
        <v>14</v>
      </c>
      <c r="B13" s="204"/>
      <c r="C13" s="204"/>
      <c r="D13" s="204"/>
      <c r="E13" s="204"/>
      <c r="F13" s="22"/>
      <c r="G13" s="39">
        <v>1</v>
      </c>
      <c r="H13" s="28">
        <f t="shared" si="0"/>
        <v>139</v>
      </c>
      <c r="K13" s="256" t="s">
        <v>63</v>
      </c>
      <c r="L13" s="257"/>
      <c r="M13" s="145">
        <f>MIN(ROUNDUP((M10-49)/100,0)*100+49, ROUNDUP((M10-99)/100,0)*100+99)</f>
        <v>1299</v>
      </c>
      <c r="N13" s="146"/>
    </row>
    <row r="14" spans="1:18" ht="15.75" thickBot="1" x14ac:dyDescent="0.3">
      <c r="A14" s="203" t="s">
        <v>15</v>
      </c>
      <c r="B14" s="204"/>
      <c r="C14" s="204"/>
      <c r="D14" s="204"/>
      <c r="E14" s="204"/>
      <c r="F14" s="22"/>
      <c r="G14" s="39"/>
      <c r="H14" s="28">
        <f t="shared" si="0"/>
        <v>0</v>
      </c>
    </row>
    <row r="15" spans="1:18" ht="15.75" thickBot="1" x14ac:dyDescent="0.3">
      <c r="A15" s="203" t="s">
        <v>16</v>
      </c>
      <c r="B15" s="204"/>
      <c r="C15" s="204"/>
      <c r="D15" s="204"/>
      <c r="E15" s="204"/>
      <c r="F15" s="22"/>
      <c r="G15" s="39"/>
      <c r="H15" s="28">
        <f t="shared" si="0"/>
        <v>0</v>
      </c>
    </row>
    <row r="16" spans="1:18" ht="15.75" thickBot="1" x14ac:dyDescent="0.3">
      <c r="A16" s="203" t="s">
        <v>17</v>
      </c>
      <c r="B16" s="204"/>
      <c r="C16" s="204"/>
      <c r="D16" s="204"/>
      <c r="E16" s="204"/>
      <c r="F16" s="22"/>
      <c r="G16" s="39">
        <v>1</v>
      </c>
      <c r="H16" s="28">
        <f t="shared" si="0"/>
        <v>7.65</v>
      </c>
    </row>
    <row r="17" spans="1:8" ht="15.75" thickBot="1" x14ac:dyDescent="0.3">
      <c r="A17" s="203" t="s">
        <v>18</v>
      </c>
      <c r="B17" s="204"/>
      <c r="C17" s="204"/>
      <c r="D17" s="204"/>
      <c r="E17" s="204"/>
      <c r="F17" s="22"/>
      <c r="G17" s="39">
        <v>1</v>
      </c>
      <c r="H17" s="28">
        <f t="shared" si="0"/>
        <v>1.19</v>
      </c>
    </row>
    <row r="18" spans="1:8" ht="15.75" thickBot="1" x14ac:dyDescent="0.3">
      <c r="A18" s="250" t="s">
        <v>19</v>
      </c>
      <c r="B18" s="251"/>
      <c r="C18" s="251"/>
      <c r="D18" s="251"/>
      <c r="E18" s="251"/>
      <c r="F18" s="22"/>
      <c r="G18" s="39">
        <v>1</v>
      </c>
      <c r="H18" s="28">
        <f t="shared" si="0"/>
        <v>73</v>
      </c>
    </row>
    <row r="19" spans="1:8" ht="15.75" thickBot="1" x14ac:dyDescent="0.3">
      <c r="A19" s="203" t="s">
        <v>62</v>
      </c>
      <c r="B19" s="204"/>
      <c r="C19" s="204"/>
      <c r="D19" s="204"/>
      <c r="E19" s="204"/>
      <c r="F19" s="22"/>
      <c r="G19" s="39">
        <v>1</v>
      </c>
      <c r="H19" s="28">
        <f t="shared" si="0"/>
        <v>0.39500000000000002</v>
      </c>
    </row>
    <row r="20" spans="1:8" ht="15.75" thickBot="1" x14ac:dyDescent="0.3">
      <c r="A20" s="203" t="s">
        <v>58</v>
      </c>
      <c r="B20" s="204"/>
      <c r="C20" s="204"/>
      <c r="D20" s="204"/>
      <c r="E20" s="204"/>
      <c r="F20" s="22"/>
      <c r="G20" s="37">
        <v>1</v>
      </c>
      <c r="H20" s="36">
        <f t="shared" si="0"/>
        <v>0.85</v>
      </c>
    </row>
    <row r="21" spans="1:8" ht="15.75" thickBot="1" x14ac:dyDescent="0.3">
      <c r="A21" s="203" t="s">
        <v>60</v>
      </c>
      <c r="B21" s="204"/>
      <c r="C21" s="204"/>
      <c r="D21" s="204"/>
      <c r="E21" s="204"/>
      <c r="F21" s="22"/>
      <c r="G21" s="39">
        <v>20</v>
      </c>
      <c r="H21" s="28">
        <f t="shared" ref="H21:H30" si="1">G21*I52</f>
        <v>80</v>
      </c>
    </row>
    <row r="22" spans="1:8" ht="15.75" thickBot="1" x14ac:dyDescent="0.3">
      <c r="A22" s="203"/>
      <c r="B22" s="204"/>
      <c r="C22" s="204"/>
      <c r="D22" s="204"/>
      <c r="E22" s="204"/>
      <c r="F22" s="22"/>
      <c r="G22" s="37"/>
      <c r="H22" s="36">
        <f t="shared" si="1"/>
        <v>0</v>
      </c>
    </row>
    <row r="23" spans="1:8" ht="15.75" thickBot="1" x14ac:dyDescent="0.3">
      <c r="A23" s="203"/>
      <c r="B23" s="204"/>
      <c r="C23" s="204"/>
      <c r="D23" s="204"/>
      <c r="E23" s="204"/>
      <c r="F23" s="22"/>
      <c r="G23" s="39"/>
      <c r="H23" s="28">
        <f t="shared" si="1"/>
        <v>0</v>
      </c>
    </row>
    <row r="24" spans="1:8" ht="15.75" thickBot="1" x14ac:dyDescent="0.3">
      <c r="A24" s="203"/>
      <c r="B24" s="204"/>
      <c r="C24" s="204"/>
      <c r="D24" s="204"/>
      <c r="E24" s="204"/>
      <c r="F24" s="22"/>
      <c r="G24" s="37"/>
      <c r="H24" s="36">
        <f t="shared" si="1"/>
        <v>0</v>
      </c>
    </row>
    <row r="25" spans="1:8" ht="15.75" thickBot="1" x14ac:dyDescent="0.3">
      <c r="A25" s="203"/>
      <c r="B25" s="204"/>
      <c r="C25" s="204"/>
      <c r="D25" s="204"/>
      <c r="E25" s="204"/>
      <c r="F25" s="22"/>
      <c r="G25" s="39"/>
      <c r="H25" s="28">
        <f t="shared" si="1"/>
        <v>0</v>
      </c>
    </row>
    <row r="26" spans="1:8" ht="15.75" thickBot="1" x14ac:dyDescent="0.3">
      <c r="A26" s="203"/>
      <c r="B26" s="204"/>
      <c r="C26" s="204"/>
      <c r="D26" s="204"/>
      <c r="E26" s="204"/>
      <c r="F26" s="22"/>
      <c r="G26" s="37"/>
      <c r="H26" s="36">
        <f t="shared" si="1"/>
        <v>0</v>
      </c>
    </row>
    <row r="27" spans="1:8" ht="15.75" thickBot="1" x14ac:dyDescent="0.3">
      <c r="A27" s="203"/>
      <c r="B27" s="204"/>
      <c r="C27" s="204"/>
      <c r="D27" s="204"/>
      <c r="E27" s="204"/>
      <c r="F27" s="22"/>
      <c r="G27" s="39"/>
      <c r="H27" s="28">
        <f t="shared" si="1"/>
        <v>0</v>
      </c>
    </row>
    <row r="28" spans="1:8" ht="15.75" thickBot="1" x14ac:dyDescent="0.3">
      <c r="A28" s="203"/>
      <c r="B28" s="204"/>
      <c r="C28" s="204"/>
      <c r="D28" s="204"/>
      <c r="E28" s="204"/>
      <c r="F28" s="22"/>
      <c r="G28" s="37"/>
      <c r="H28" s="36">
        <f t="shared" si="1"/>
        <v>0</v>
      </c>
    </row>
    <row r="29" spans="1:8" ht="15.75" thickBot="1" x14ac:dyDescent="0.3">
      <c r="A29" s="203"/>
      <c r="B29" s="204"/>
      <c r="C29" s="204"/>
      <c r="D29" s="204"/>
      <c r="E29" s="204"/>
      <c r="F29" s="22"/>
      <c r="G29" s="39"/>
      <c r="H29" s="28">
        <f t="shared" si="1"/>
        <v>0</v>
      </c>
    </row>
    <row r="30" spans="1:8" ht="15.75" thickBot="1" x14ac:dyDescent="0.3">
      <c r="A30" s="205"/>
      <c r="B30" s="206"/>
      <c r="C30" s="206"/>
      <c r="D30" s="206"/>
      <c r="E30" s="206"/>
      <c r="F30" s="23"/>
      <c r="G30" s="40"/>
      <c r="H30" s="28">
        <f t="shared" si="1"/>
        <v>0</v>
      </c>
    </row>
    <row r="32" spans="1:8" ht="15.75" thickBot="1" x14ac:dyDescent="0.3"/>
    <row r="33" spans="1:20" ht="15.75" thickBot="1" x14ac:dyDescent="0.3">
      <c r="A33" s="245" t="s">
        <v>20</v>
      </c>
      <c r="B33" s="246"/>
      <c r="C33" s="246"/>
      <c r="D33" s="246"/>
      <c r="E33" s="247"/>
      <c r="F33" s="9"/>
      <c r="G33" s="4" t="s">
        <v>0</v>
      </c>
      <c r="H33" s="4" t="s">
        <v>3</v>
      </c>
      <c r="I33" s="4" t="s">
        <v>2</v>
      </c>
      <c r="J33" s="3"/>
      <c r="L33" s="245" t="s">
        <v>21</v>
      </c>
      <c r="M33" s="246"/>
      <c r="N33" s="246"/>
      <c r="O33" s="246"/>
      <c r="P33" s="247"/>
      <c r="Q33" s="9"/>
      <c r="R33" s="17" t="s">
        <v>2</v>
      </c>
      <c r="S33" s="17" t="s">
        <v>23</v>
      </c>
      <c r="T33" s="17" t="s">
        <v>24</v>
      </c>
    </row>
    <row r="34" spans="1:20" ht="15.75" thickBot="1" x14ac:dyDescent="0.3">
      <c r="A34" s="243" t="s">
        <v>1</v>
      </c>
      <c r="B34" s="244"/>
      <c r="C34" s="244"/>
      <c r="D34" s="244"/>
      <c r="E34" s="252"/>
      <c r="F34" s="1"/>
      <c r="G34" s="10">
        <v>999</v>
      </c>
      <c r="H34" s="14">
        <v>110</v>
      </c>
      <c r="I34" s="24">
        <f>IF(H34=0,0,G34/H34)</f>
        <v>9.081818181818182</v>
      </c>
      <c r="L34" s="243" t="s">
        <v>22</v>
      </c>
      <c r="M34" s="244"/>
      <c r="N34" s="244"/>
      <c r="O34" s="244"/>
      <c r="P34" s="252"/>
      <c r="Q34" s="1"/>
      <c r="R34" s="10">
        <v>29</v>
      </c>
      <c r="S34" s="14">
        <v>10</v>
      </c>
      <c r="T34" s="24">
        <f>R34*S34</f>
        <v>290</v>
      </c>
    </row>
    <row r="35" spans="1:20" ht="15.75" thickBot="1" x14ac:dyDescent="0.3">
      <c r="A35" s="203" t="s">
        <v>4</v>
      </c>
      <c r="B35" s="204"/>
      <c r="C35" s="204"/>
      <c r="D35" s="204"/>
      <c r="E35" s="248"/>
      <c r="F35" s="2"/>
      <c r="G35" s="11">
        <v>328</v>
      </c>
      <c r="H35" s="14">
        <v>144</v>
      </c>
      <c r="I35" s="24">
        <f t="shared" ref="I35:I55" si="2">IF(H35=0,0,G35/H35)</f>
        <v>2.2777777777777777</v>
      </c>
      <c r="L35" s="203" t="s">
        <v>25</v>
      </c>
      <c r="M35" s="204"/>
      <c r="N35" s="204"/>
      <c r="O35" s="204"/>
      <c r="P35" s="248"/>
      <c r="Q35" s="2"/>
      <c r="R35" s="11">
        <v>31</v>
      </c>
      <c r="S35" s="14">
        <v>2</v>
      </c>
      <c r="T35" s="24">
        <f t="shared" ref="T35:T55" si="3">R35*S35</f>
        <v>62</v>
      </c>
    </row>
    <row r="36" spans="1:20" ht="15.75" thickBot="1" x14ac:dyDescent="0.3">
      <c r="A36" s="203" t="s">
        <v>5</v>
      </c>
      <c r="B36" s="204"/>
      <c r="C36" s="204"/>
      <c r="D36" s="204"/>
      <c r="E36" s="248"/>
      <c r="F36" s="2"/>
      <c r="G36" s="11">
        <v>91</v>
      </c>
      <c r="H36" s="14">
        <v>1</v>
      </c>
      <c r="I36" s="24">
        <f t="shared" si="2"/>
        <v>91</v>
      </c>
      <c r="L36" s="203" t="s">
        <v>26</v>
      </c>
      <c r="M36" s="204"/>
      <c r="N36" s="204"/>
      <c r="O36" s="204"/>
      <c r="P36" s="248"/>
      <c r="Q36" s="2"/>
      <c r="R36" s="11">
        <v>69</v>
      </c>
      <c r="S36" s="14">
        <v>5</v>
      </c>
      <c r="T36" s="24">
        <f t="shared" si="3"/>
        <v>345</v>
      </c>
    </row>
    <row r="37" spans="1:20" ht="15.75" thickBot="1" x14ac:dyDescent="0.3">
      <c r="A37" s="203" t="s">
        <v>6</v>
      </c>
      <c r="B37" s="204"/>
      <c r="C37" s="204"/>
      <c r="D37" s="204"/>
      <c r="E37" s="248"/>
      <c r="F37" s="2"/>
      <c r="G37" s="11">
        <v>2381</v>
      </c>
      <c r="H37" s="14">
        <v>100</v>
      </c>
      <c r="I37" s="24">
        <f t="shared" si="2"/>
        <v>23.81</v>
      </c>
      <c r="L37" s="203"/>
      <c r="M37" s="204"/>
      <c r="N37" s="204"/>
      <c r="O37" s="204"/>
      <c r="P37" s="248"/>
      <c r="Q37" s="2"/>
      <c r="R37" s="11"/>
      <c r="S37" s="14"/>
      <c r="T37" s="24">
        <f t="shared" si="3"/>
        <v>0</v>
      </c>
    </row>
    <row r="38" spans="1:20" ht="15.75" thickBot="1" x14ac:dyDescent="0.3">
      <c r="A38" s="203" t="s">
        <v>7</v>
      </c>
      <c r="B38" s="204"/>
      <c r="C38" s="204"/>
      <c r="D38" s="204"/>
      <c r="E38" s="248"/>
      <c r="F38" s="2"/>
      <c r="G38" s="11">
        <v>28</v>
      </c>
      <c r="H38" s="14">
        <v>1</v>
      </c>
      <c r="I38" s="24">
        <f t="shared" si="2"/>
        <v>28</v>
      </c>
      <c r="L38" s="203"/>
      <c r="M38" s="204"/>
      <c r="N38" s="204"/>
      <c r="O38" s="204"/>
      <c r="P38" s="248"/>
      <c r="Q38" s="2"/>
      <c r="R38" s="11"/>
      <c r="S38" s="14"/>
      <c r="T38" s="24">
        <f t="shared" si="3"/>
        <v>0</v>
      </c>
    </row>
    <row r="39" spans="1:20" ht="15.75" thickBot="1" x14ac:dyDescent="0.3">
      <c r="A39" s="203" t="s">
        <v>8</v>
      </c>
      <c r="B39" s="204"/>
      <c r="C39" s="204"/>
      <c r="D39" s="204"/>
      <c r="E39" s="248"/>
      <c r="F39" s="2"/>
      <c r="G39" s="11">
        <v>35</v>
      </c>
      <c r="H39" s="14">
        <v>40</v>
      </c>
      <c r="I39" s="24">
        <f t="shared" si="2"/>
        <v>0.875</v>
      </c>
      <c r="L39" s="203"/>
      <c r="M39" s="204"/>
      <c r="N39" s="204"/>
      <c r="O39" s="204"/>
      <c r="P39" s="248"/>
      <c r="Q39" s="2"/>
      <c r="R39" s="11"/>
      <c r="S39" s="14"/>
      <c r="T39" s="24">
        <f t="shared" si="3"/>
        <v>0</v>
      </c>
    </row>
    <row r="40" spans="1:20" ht="15.75" thickBot="1" x14ac:dyDescent="0.3">
      <c r="A40" s="203" t="s">
        <v>9</v>
      </c>
      <c r="B40" s="204"/>
      <c r="C40" s="204"/>
      <c r="D40" s="204"/>
      <c r="E40" s="248"/>
      <c r="F40" s="2"/>
      <c r="G40" s="11">
        <v>235</v>
      </c>
      <c r="H40" s="14">
        <v>500</v>
      </c>
      <c r="I40" s="24">
        <f t="shared" si="2"/>
        <v>0.47</v>
      </c>
      <c r="L40" s="203"/>
      <c r="M40" s="204"/>
      <c r="N40" s="204"/>
      <c r="O40" s="204"/>
      <c r="P40" s="248"/>
      <c r="Q40" s="2"/>
      <c r="R40" s="11"/>
      <c r="S40" s="14"/>
      <c r="T40" s="24">
        <f t="shared" si="3"/>
        <v>0</v>
      </c>
    </row>
    <row r="41" spans="1:20" ht="15.75" thickBot="1" x14ac:dyDescent="0.3">
      <c r="A41" s="203" t="s">
        <v>10</v>
      </c>
      <c r="B41" s="204"/>
      <c r="C41" s="204"/>
      <c r="D41" s="204"/>
      <c r="E41" s="248"/>
      <c r="F41" s="2"/>
      <c r="G41" s="11">
        <v>353</v>
      </c>
      <c r="H41" s="14">
        <v>1500</v>
      </c>
      <c r="I41" s="24">
        <f t="shared" si="2"/>
        <v>0.23533333333333334</v>
      </c>
      <c r="L41" s="203"/>
      <c r="M41" s="204"/>
      <c r="N41" s="204"/>
      <c r="O41" s="204"/>
      <c r="P41" s="248"/>
      <c r="Q41" s="2"/>
      <c r="R41" s="11"/>
      <c r="S41" s="14"/>
      <c r="T41" s="24">
        <f t="shared" si="3"/>
        <v>0</v>
      </c>
    </row>
    <row r="42" spans="1:20" ht="15.75" thickBot="1" x14ac:dyDescent="0.3">
      <c r="A42" s="203" t="s">
        <v>11</v>
      </c>
      <c r="B42" s="204"/>
      <c r="C42" s="204"/>
      <c r="D42" s="204"/>
      <c r="E42" s="248"/>
      <c r="F42" s="2"/>
      <c r="G42" s="11">
        <v>164</v>
      </c>
      <c r="H42" s="14">
        <v>320</v>
      </c>
      <c r="I42" s="24">
        <f t="shared" si="2"/>
        <v>0.51249999999999996</v>
      </c>
      <c r="L42" s="203"/>
      <c r="M42" s="204"/>
      <c r="N42" s="204"/>
      <c r="O42" s="204"/>
      <c r="P42" s="248"/>
      <c r="Q42" s="2"/>
      <c r="R42" s="11"/>
      <c r="S42" s="14"/>
      <c r="T42" s="24">
        <f t="shared" si="3"/>
        <v>0</v>
      </c>
    </row>
    <row r="43" spans="1:20" ht="15.75" thickBot="1" x14ac:dyDescent="0.3">
      <c r="A43" s="203" t="s">
        <v>104</v>
      </c>
      <c r="B43" s="204"/>
      <c r="C43" s="204"/>
      <c r="D43" s="204"/>
      <c r="E43" s="248"/>
      <c r="F43" s="2"/>
      <c r="G43" s="11">
        <v>655</v>
      </c>
      <c r="H43" s="16">
        <v>1000</v>
      </c>
      <c r="I43" s="24">
        <f t="shared" si="2"/>
        <v>0.65500000000000003</v>
      </c>
      <c r="J43" s="259" t="s">
        <v>13</v>
      </c>
      <c r="K43" s="260"/>
      <c r="L43" s="203"/>
      <c r="M43" s="204"/>
      <c r="N43" s="204"/>
      <c r="O43" s="204"/>
      <c r="P43" s="248"/>
      <c r="Q43" s="2"/>
      <c r="R43" s="11"/>
      <c r="S43" s="16"/>
      <c r="T43" s="24">
        <f t="shared" si="3"/>
        <v>0</v>
      </c>
    </row>
    <row r="44" spans="1:20" ht="15.75" thickBot="1" x14ac:dyDescent="0.3">
      <c r="A44" s="203" t="s">
        <v>14</v>
      </c>
      <c r="B44" s="204"/>
      <c r="C44" s="204"/>
      <c r="D44" s="204"/>
      <c r="E44" s="248"/>
      <c r="F44" s="2"/>
      <c r="G44" s="11">
        <v>139</v>
      </c>
      <c r="H44" s="14">
        <v>1</v>
      </c>
      <c r="I44" s="24">
        <f t="shared" si="2"/>
        <v>139</v>
      </c>
      <c r="L44" s="29"/>
      <c r="M44" s="30"/>
      <c r="N44" s="30"/>
      <c r="O44" s="30"/>
      <c r="P44" s="31"/>
      <c r="Q44" s="2"/>
      <c r="R44" s="11"/>
      <c r="S44" s="14"/>
      <c r="T44" s="24">
        <f t="shared" si="3"/>
        <v>0</v>
      </c>
    </row>
    <row r="45" spans="1:20" ht="15.75" thickBot="1" x14ac:dyDescent="0.3">
      <c r="A45" s="203" t="s">
        <v>15</v>
      </c>
      <c r="B45" s="204"/>
      <c r="C45" s="204"/>
      <c r="D45" s="204"/>
      <c r="E45" s="248"/>
      <c r="F45" s="2"/>
      <c r="G45" s="11">
        <v>47</v>
      </c>
      <c r="H45" s="14">
        <v>1</v>
      </c>
      <c r="I45" s="24">
        <f t="shared" si="2"/>
        <v>47</v>
      </c>
      <c r="L45" s="29"/>
      <c r="M45" s="30"/>
      <c r="N45" s="30"/>
      <c r="O45" s="30"/>
      <c r="P45" s="31"/>
      <c r="Q45" s="2"/>
      <c r="R45" s="11"/>
      <c r="S45" s="14"/>
      <c r="T45" s="24">
        <f t="shared" si="3"/>
        <v>0</v>
      </c>
    </row>
    <row r="46" spans="1:20" ht="15.75" thickBot="1" x14ac:dyDescent="0.3">
      <c r="A46" s="203" t="s">
        <v>16</v>
      </c>
      <c r="B46" s="204"/>
      <c r="C46" s="204"/>
      <c r="D46" s="204"/>
      <c r="E46" s="248"/>
      <c r="F46" s="2"/>
      <c r="G46" s="11">
        <v>16</v>
      </c>
      <c r="H46" s="14">
        <v>100</v>
      </c>
      <c r="I46" s="24">
        <f t="shared" si="2"/>
        <v>0.16</v>
      </c>
      <c r="L46" s="29"/>
      <c r="M46" s="30"/>
      <c r="N46" s="30"/>
      <c r="O46" s="30"/>
      <c r="P46" s="31"/>
      <c r="Q46" s="2"/>
      <c r="R46" s="11"/>
      <c r="S46" s="14"/>
      <c r="T46" s="24">
        <f t="shared" si="3"/>
        <v>0</v>
      </c>
    </row>
    <row r="47" spans="1:20" ht="15.75" thickBot="1" x14ac:dyDescent="0.3">
      <c r="A47" s="203" t="s">
        <v>17</v>
      </c>
      <c r="B47" s="204"/>
      <c r="C47" s="204"/>
      <c r="D47" s="204"/>
      <c r="E47" s="248"/>
      <c r="F47" s="2"/>
      <c r="G47" s="11">
        <v>153</v>
      </c>
      <c r="H47" s="14">
        <v>20</v>
      </c>
      <c r="I47" s="24">
        <f t="shared" si="2"/>
        <v>7.65</v>
      </c>
      <c r="L47" s="29"/>
      <c r="M47" s="30"/>
      <c r="N47" s="30"/>
      <c r="O47" s="30"/>
      <c r="P47" s="31"/>
      <c r="Q47" s="2"/>
      <c r="R47" s="11"/>
      <c r="S47" s="14"/>
      <c r="T47" s="24">
        <f t="shared" si="3"/>
        <v>0</v>
      </c>
    </row>
    <row r="48" spans="1:20" ht="15.75" thickBot="1" x14ac:dyDescent="0.3">
      <c r="A48" s="203" t="s">
        <v>18</v>
      </c>
      <c r="B48" s="204"/>
      <c r="C48" s="204"/>
      <c r="D48" s="204"/>
      <c r="E48" s="248"/>
      <c r="F48" s="2"/>
      <c r="G48" s="11">
        <v>119</v>
      </c>
      <c r="H48" s="14">
        <v>100</v>
      </c>
      <c r="I48" s="24">
        <f t="shared" si="2"/>
        <v>1.19</v>
      </c>
      <c r="L48" s="29"/>
      <c r="M48" s="30"/>
      <c r="N48" s="30"/>
      <c r="O48" s="30"/>
      <c r="P48" s="31"/>
      <c r="Q48" s="2"/>
      <c r="R48" s="11"/>
      <c r="S48" s="14"/>
      <c r="T48" s="24">
        <f t="shared" si="3"/>
        <v>0</v>
      </c>
    </row>
    <row r="49" spans="1:20" ht="15.75" thickBot="1" x14ac:dyDescent="0.3">
      <c r="A49" s="203" t="s">
        <v>19</v>
      </c>
      <c r="B49" s="204"/>
      <c r="C49" s="204"/>
      <c r="D49" s="204"/>
      <c r="E49" s="248"/>
      <c r="F49" s="7"/>
      <c r="G49" s="12">
        <v>73</v>
      </c>
      <c r="H49" s="14">
        <v>1</v>
      </c>
      <c r="I49" s="24">
        <f t="shared" si="2"/>
        <v>73</v>
      </c>
      <c r="L49" s="29"/>
      <c r="M49" s="30"/>
      <c r="N49" s="30"/>
      <c r="O49" s="30"/>
      <c r="P49" s="31"/>
      <c r="Q49" s="7"/>
      <c r="R49" s="12"/>
      <c r="S49" s="14"/>
      <c r="T49" s="24">
        <f t="shared" si="3"/>
        <v>0</v>
      </c>
    </row>
    <row r="50" spans="1:20" ht="15.75" thickBot="1" x14ac:dyDescent="0.3">
      <c r="A50" s="203" t="s">
        <v>39</v>
      </c>
      <c r="B50" s="204"/>
      <c r="C50" s="204"/>
      <c r="D50" s="204"/>
      <c r="E50" s="248"/>
      <c r="F50" s="8"/>
      <c r="G50" s="11">
        <v>237</v>
      </c>
      <c r="H50" s="14">
        <v>600</v>
      </c>
      <c r="I50" s="24">
        <f t="shared" si="2"/>
        <v>0.39500000000000002</v>
      </c>
      <c r="L50" s="203"/>
      <c r="M50" s="204"/>
      <c r="N50" s="204"/>
      <c r="O50" s="204"/>
      <c r="P50" s="248"/>
      <c r="Q50" s="8"/>
      <c r="R50" s="11"/>
      <c r="S50" s="14"/>
      <c r="T50" s="24">
        <f t="shared" si="3"/>
        <v>0</v>
      </c>
    </row>
    <row r="51" spans="1:20" ht="15.75" thickBot="1" x14ac:dyDescent="0.3">
      <c r="A51" s="203" t="s">
        <v>58</v>
      </c>
      <c r="B51" s="204"/>
      <c r="C51" s="204"/>
      <c r="D51" s="204"/>
      <c r="E51" s="248"/>
      <c r="F51" s="5"/>
      <c r="G51" s="11">
        <v>17</v>
      </c>
      <c r="H51" s="14">
        <v>20</v>
      </c>
      <c r="I51" s="24">
        <f t="shared" si="2"/>
        <v>0.85</v>
      </c>
      <c r="L51" s="203"/>
      <c r="M51" s="204"/>
      <c r="N51" s="204"/>
      <c r="O51" s="204"/>
      <c r="P51" s="248"/>
      <c r="Q51" s="5"/>
      <c r="R51" s="11"/>
      <c r="S51" s="14"/>
      <c r="T51" s="24">
        <f t="shared" si="3"/>
        <v>0</v>
      </c>
    </row>
    <row r="52" spans="1:20" ht="15.75" thickBot="1" x14ac:dyDescent="0.3">
      <c r="A52" s="203" t="s">
        <v>60</v>
      </c>
      <c r="B52" s="204"/>
      <c r="C52" s="204"/>
      <c r="D52" s="204"/>
      <c r="E52" s="248"/>
      <c r="F52" s="5"/>
      <c r="G52" s="11">
        <v>16</v>
      </c>
      <c r="H52" s="14">
        <v>4</v>
      </c>
      <c r="I52" s="24">
        <f t="shared" si="2"/>
        <v>4</v>
      </c>
      <c r="L52" s="203"/>
      <c r="M52" s="204"/>
      <c r="N52" s="204"/>
      <c r="O52" s="204"/>
      <c r="P52" s="248"/>
      <c r="Q52" s="5"/>
      <c r="R52" s="11"/>
      <c r="S52" s="14"/>
      <c r="T52" s="24">
        <f t="shared" si="3"/>
        <v>0</v>
      </c>
    </row>
    <row r="53" spans="1:20" ht="15.75" thickBot="1" x14ac:dyDescent="0.3">
      <c r="A53" s="203"/>
      <c r="B53" s="204"/>
      <c r="C53" s="204"/>
      <c r="D53" s="204"/>
      <c r="E53" s="248"/>
      <c r="F53" s="5"/>
      <c r="G53" s="11"/>
      <c r="H53" s="14"/>
      <c r="I53" s="24">
        <f t="shared" si="2"/>
        <v>0</v>
      </c>
      <c r="L53" s="203"/>
      <c r="M53" s="204"/>
      <c r="N53" s="204"/>
      <c r="O53" s="204"/>
      <c r="P53" s="248"/>
      <c r="Q53" s="5"/>
      <c r="R53" s="11"/>
      <c r="S53" s="14"/>
      <c r="T53" s="24">
        <f t="shared" si="3"/>
        <v>0</v>
      </c>
    </row>
    <row r="54" spans="1:20" ht="15.75" thickBot="1" x14ac:dyDescent="0.3">
      <c r="A54" s="203"/>
      <c r="B54" s="204"/>
      <c r="C54" s="204"/>
      <c r="D54" s="204"/>
      <c r="E54" s="248"/>
      <c r="F54" s="5"/>
      <c r="G54" s="11"/>
      <c r="H54" s="14"/>
      <c r="I54" s="24">
        <f t="shared" si="2"/>
        <v>0</v>
      </c>
      <c r="L54" s="203"/>
      <c r="M54" s="204"/>
      <c r="N54" s="204"/>
      <c r="O54" s="204"/>
      <c r="P54" s="248"/>
      <c r="Q54" s="5"/>
      <c r="R54" s="11"/>
      <c r="S54" s="14"/>
      <c r="T54" s="24">
        <f t="shared" si="3"/>
        <v>0</v>
      </c>
    </row>
    <row r="55" spans="1:20" ht="15.75" thickBot="1" x14ac:dyDescent="0.3">
      <c r="A55" s="205"/>
      <c r="B55" s="206"/>
      <c r="C55" s="206"/>
      <c r="D55" s="206"/>
      <c r="E55" s="249"/>
      <c r="F55" s="6"/>
      <c r="G55" s="13"/>
      <c r="H55" s="15"/>
      <c r="I55" s="24">
        <f t="shared" si="2"/>
        <v>0</v>
      </c>
      <c r="L55" s="205"/>
      <c r="M55" s="206"/>
      <c r="N55" s="206"/>
      <c r="O55" s="206"/>
      <c r="P55" s="249"/>
      <c r="Q55" s="6"/>
      <c r="R55" s="13"/>
      <c r="S55" s="15"/>
      <c r="T55" s="24">
        <f t="shared" si="3"/>
        <v>0</v>
      </c>
    </row>
    <row r="56" spans="1:20" ht="15.75" thickBot="1" x14ac:dyDescent="0.3">
      <c r="A56" s="32" t="s">
        <v>27</v>
      </c>
      <c r="B56" s="33"/>
      <c r="C56" s="33"/>
      <c r="D56" s="33"/>
      <c r="E56" s="34"/>
      <c r="F56" s="9"/>
      <c r="G56" s="19">
        <f>G34+G35+G36+G37+G38+G39+G40+G41+G42+G43+G44+G45+G46+G47+G48+G49+G50+G51+G52+G53+G54+G55</f>
        <v>6086</v>
      </c>
      <c r="H56" s="20">
        <f>H34+H35+H36+H37+H38+H39+H40+H41+H42+H43+H44+H45+H46+H47+H48+H49+H50+H51+H52+H53+H54+H55</f>
        <v>4563</v>
      </c>
      <c r="I56" s="18">
        <f>I34+I35+I36+I37+I38+I39+I40+I41+I42+I43+I44+I45+I46+I47+I48+I49+I50+I51+I52+I53+I54+I55</f>
        <v>430.16242929292929</v>
      </c>
      <c r="L56" s="32" t="s">
        <v>27</v>
      </c>
      <c r="M56" s="33"/>
      <c r="N56" s="33"/>
      <c r="O56" s="33"/>
      <c r="P56" s="34"/>
      <c r="Q56" s="9"/>
      <c r="R56" s="19">
        <f>R34+R35+R36+R37+R38+R39+R40+R41+R42+R43+R44+R45+R46+R47+R48+R49+R50+R51+R52+R53+R54+R55</f>
        <v>129</v>
      </c>
      <c r="S56" s="20">
        <f>S34+S35+S36+S37+S38+S39+S40+S41+S42+S43+S44+S45+S46+S47+S48+S49+S50+S51+S52+S53+S54+S55</f>
        <v>17</v>
      </c>
      <c r="T56" s="18">
        <f>T34+T36+T35+T37+T38+T39+T40+T41+T43+T42+T44+T45+T46+T47+T48+T49+T50+T51+T53+T52+T54+T55</f>
        <v>697</v>
      </c>
    </row>
    <row r="58" spans="1:20" ht="15.75" thickBot="1" x14ac:dyDescent="0.3"/>
    <row r="59" spans="1:20" ht="15.75" thickBot="1" x14ac:dyDescent="0.3">
      <c r="A59" s="245" t="s">
        <v>41</v>
      </c>
      <c r="B59" s="246"/>
      <c r="C59" s="246"/>
      <c r="D59" s="246"/>
      <c r="E59" s="247"/>
      <c r="F59" s="41"/>
      <c r="G59" s="253" t="s">
        <v>40</v>
      </c>
      <c r="H59" s="202"/>
    </row>
    <row r="60" spans="1:20" x14ac:dyDescent="0.25">
      <c r="A60" s="243" t="s">
        <v>1</v>
      </c>
      <c r="B60" s="244"/>
      <c r="C60" s="244"/>
      <c r="D60" s="244"/>
      <c r="E60" s="252"/>
      <c r="F60" s="42"/>
      <c r="G60" s="254" t="s">
        <v>43</v>
      </c>
      <c r="H60" s="252"/>
    </row>
    <row r="61" spans="1:20" x14ac:dyDescent="0.25">
      <c r="A61" s="203" t="s">
        <v>4</v>
      </c>
      <c r="B61" s="204"/>
      <c r="C61" s="204"/>
      <c r="D61" s="204"/>
      <c r="E61" s="248"/>
      <c r="F61" s="42"/>
      <c r="G61" s="255" t="s">
        <v>44</v>
      </c>
      <c r="H61" s="248"/>
    </row>
    <row r="62" spans="1:20" x14ac:dyDescent="0.25">
      <c r="A62" s="203" t="s">
        <v>5</v>
      </c>
      <c r="B62" s="204"/>
      <c r="C62" s="204"/>
      <c r="D62" s="204"/>
      <c r="E62" s="248"/>
      <c r="F62" s="42"/>
      <c r="G62" s="255" t="s">
        <v>45</v>
      </c>
      <c r="H62" s="248"/>
    </row>
    <row r="63" spans="1:20" x14ac:dyDescent="0.25">
      <c r="A63" s="203" t="s">
        <v>6</v>
      </c>
      <c r="B63" s="204"/>
      <c r="C63" s="204"/>
      <c r="D63" s="204"/>
      <c r="E63" s="248"/>
      <c r="F63" s="42"/>
      <c r="G63" s="255" t="s">
        <v>46</v>
      </c>
      <c r="H63" s="248"/>
    </row>
    <row r="64" spans="1:20" x14ac:dyDescent="0.25">
      <c r="A64" s="203" t="s">
        <v>7</v>
      </c>
      <c r="B64" s="204"/>
      <c r="C64" s="204"/>
      <c r="D64" s="204"/>
      <c r="E64" s="248"/>
      <c r="F64" s="42"/>
      <c r="G64" s="255" t="s">
        <v>47</v>
      </c>
      <c r="H64" s="248"/>
    </row>
    <row r="65" spans="1:8" x14ac:dyDescent="0.25">
      <c r="A65" s="203" t="s">
        <v>8</v>
      </c>
      <c r="B65" s="204"/>
      <c r="C65" s="204"/>
      <c r="D65" s="204"/>
      <c r="E65" s="248"/>
      <c r="F65" s="42"/>
      <c r="G65" s="255" t="s">
        <v>48</v>
      </c>
      <c r="H65" s="248"/>
    </row>
    <row r="66" spans="1:8" x14ac:dyDescent="0.25">
      <c r="A66" s="203" t="s">
        <v>9</v>
      </c>
      <c r="B66" s="204"/>
      <c r="C66" s="204"/>
      <c r="D66" s="204"/>
      <c r="E66" s="248"/>
      <c r="F66" s="42"/>
      <c r="G66" s="255" t="s">
        <v>49</v>
      </c>
      <c r="H66" s="248"/>
    </row>
    <row r="67" spans="1:8" x14ac:dyDescent="0.25">
      <c r="A67" s="203" t="s">
        <v>10</v>
      </c>
      <c r="B67" s="204"/>
      <c r="C67" s="204"/>
      <c r="D67" s="204"/>
      <c r="E67" s="248"/>
      <c r="F67" s="42"/>
      <c r="G67" s="255" t="s">
        <v>50</v>
      </c>
      <c r="H67" s="248"/>
    </row>
    <row r="68" spans="1:8" x14ac:dyDescent="0.25">
      <c r="A68" s="203" t="s">
        <v>11</v>
      </c>
      <c r="B68" s="204"/>
      <c r="C68" s="204"/>
      <c r="D68" s="204"/>
      <c r="E68" s="248"/>
      <c r="F68" s="42"/>
      <c r="G68" s="255" t="s">
        <v>51</v>
      </c>
      <c r="H68" s="248"/>
    </row>
    <row r="69" spans="1:8" x14ac:dyDescent="0.25">
      <c r="A69" s="203" t="s">
        <v>104</v>
      </c>
      <c r="B69" s="204"/>
      <c r="C69" s="204"/>
      <c r="D69" s="204"/>
      <c r="E69" s="248"/>
      <c r="F69" s="42"/>
      <c r="G69" s="255" t="s">
        <v>103</v>
      </c>
      <c r="H69" s="248"/>
    </row>
    <row r="70" spans="1:8" x14ac:dyDescent="0.25">
      <c r="A70" s="203" t="s">
        <v>14</v>
      </c>
      <c r="B70" s="204"/>
      <c r="C70" s="204"/>
      <c r="D70" s="204"/>
      <c r="E70" s="248"/>
      <c r="F70" s="42"/>
      <c r="G70" s="255" t="s">
        <v>52</v>
      </c>
      <c r="H70" s="248"/>
    </row>
    <row r="71" spans="1:8" x14ac:dyDescent="0.25">
      <c r="A71" s="203" t="s">
        <v>15</v>
      </c>
      <c r="B71" s="204"/>
      <c r="C71" s="204"/>
      <c r="D71" s="204"/>
      <c r="E71" s="248"/>
      <c r="F71" s="42"/>
      <c r="G71" s="255" t="s">
        <v>53</v>
      </c>
      <c r="H71" s="248"/>
    </row>
    <row r="72" spans="1:8" x14ac:dyDescent="0.25">
      <c r="A72" s="203" t="s">
        <v>16</v>
      </c>
      <c r="B72" s="204"/>
      <c r="C72" s="204"/>
      <c r="D72" s="204"/>
      <c r="E72" s="248"/>
      <c r="F72" s="42"/>
      <c r="G72" s="255" t="s">
        <v>54</v>
      </c>
      <c r="H72" s="248"/>
    </row>
    <row r="73" spans="1:8" x14ac:dyDescent="0.25">
      <c r="A73" s="203" t="s">
        <v>17</v>
      </c>
      <c r="B73" s="204"/>
      <c r="C73" s="204"/>
      <c r="D73" s="204"/>
      <c r="E73" s="248"/>
      <c r="F73" s="42"/>
      <c r="G73" s="255" t="s">
        <v>55</v>
      </c>
      <c r="H73" s="248"/>
    </row>
    <row r="74" spans="1:8" x14ac:dyDescent="0.25">
      <c r="A74" s="203" t="s">
        <v>18</v>
      </c>
      <c r="B74" s="204"/>
      <c r="C74" s="204"/>
      <c r="D74" s="204"/>
      <c r="E74" s="248"/>
      <c r="F74" s="42"/>
      <c r="G74" s="255" t="s">
        <v>56</v>
      </c>
      <c r="H74" s="248"/>
    </row>
    <row r="75" spans="1:8" x14ac:dyDescent="0.25">
      <c r="A75" s="203" t="s">
        <v>19</v>
      </c>
      <c r="B75" s="204"/>
      <c r="C75" s="204"/>
      <c r="D75" s="204"/>
      <c r="E75" s="248"/>
      <c r="F75" s="42"/>
      <c r="G75" s="258" t="s">
        <v>57</v>
      </c>
      <c r="H75" s="248"/>
    </row>
    <row r="76" spans="1:8" x14ac:dyDescent="0.25">
      <c r="A76" s="203" t="s">
        <v>39</v>
      </c>
      <c r="B76" s="204"/>
      <c r="C76" s="204"/>
      <c r="D76" s="204"/>
      <c r="E76" s="248"/>
      <c r="F76" s="42"/>
      <c r="G76" s="255" t="s">
        <v>42</v>
      </c>
      <c r="H76" s="248"/>
    </row>
    <row r="77" spans="1:8" x14ac:dyDescent="0.25">
      <c r="A77" s="203" t="s">
        <v>58</v>
      </c>
      <c r="B77" s="204"/>
      <c r="C77" s="204"/>
      <c r="D77" s="204"/>
      <c r="E77" s="248"/>
      <c r="F77" s="42"/>
      <c r="G77" s="255" t="s">
        <v>59</v>
      </c>
      <c r="H77" s="248"/>
    </row>
    <row r="78" spans="1:8" x14ac:dyDescent="0.25">
      <c r="A78" s="203" t="s">
        <v>60</v>
      </c>
      <c r="B78" s="204"/>
      <c r="C78" s="204"/>
      <c r="D78" s="204"/>
      <c r="E78" s="248"/>
      <c r="F78" s="42"/>
      <c r="G78" s="255" t="s">
        <v>61</v>
      </c>
      <c r="H78" s="248"/>
    </row>
    <row r="79" spans="1:8" x14ac:dyDescent="0.25">
      <c r="A79" s="203"/>
      <c r="B79" s="204"/>
      <c r="C79" s="204"/>
      <c r="D79" s="204"/>
      <c r="E79" s="248"/>
      <c r="F79" s="42"/>
      <c r="G79" s="203"/>
      <c r="H79" s="248"/>
    </row>
    <row r="80" spans="1:8" x14ac:dyDescent="0.25">
      <c r="A80" s="203"/>
      <c r="B80" s="204"/>
      <c r="C80" s="204"/>
      <c r="D80" s="204"/>
      <c r="E80" s="248"/>
      <c r="F80" s="42"/>
      <c r="G80" s="203"/>
      <c r="H80" s="248"/>
    </row>
    <row r="81" spans="1:8" ht="15.75" thickBot="1" x14ac:dyDescent="0.3">
      <c r="A81" s="205"/>
      <c r="B81" s="206"/>
      <c r="C81" s="206"/>
      <c r="D81" s="206"/>
      <c r="E81" s="249"/>
      <c r="F81" s="43"/>
      <c r="G81" s="205"/>
      <c r="H81" s="249"/>
    </row>
  </sheetData>
  <mergeCells count="134">
    <mergeCell ref="A79:E79"/>
    <mergeCell ref="G79:H79"/>
    <mergeCell ref="A80:E80"/>
    <mergeCell ref="G80:H80"/>
    <mergeCell ref="A81:E81"/>
    <mergeCell ref="G81:H81"/>
    <mergeCell ref="A76:E76"/>
    <mergeCell ref="G76:H76"/>
    <mergeCell ref="A77:E77"/>
    <mergeCell ref="G77:H77"/>
    <mergeCell ref="A78:E78"/>
    <mergeCell ref="G78:H78"/>
    <mergeCell ref="A73:E73"/>
    <mergeCell ref="G73:H73"/>
    <mergeCell ref="A74:E74"/>
    <mergeCell ref="G74:H74"/>
    <mergeCell ref="A75:E75"/>
    <mergeCell ref="G75:H75"/>
    <mergeCell ref="A70:E70"/>
    <mergeCell ref="G70:H70"/>
    <mergeCell ref="A71:E71"/>
    <mergeCell ref="G71:H71"/>
    <mergeCell ref="A72:E72"/>
    <mergeCell ref="G72:H72"/>
    <mergeCell ref="A67:E67"/>
    <mergeCell ref="G67:H67"/>
    <mergeCell ref="A68:E68"/>
    <mergeCell ref="G68:H68"/>
    <mergeCell ref="A69:E69"/>
    <mergeCell ref="G69:H69"/>
    <mergeCell ref="A64:E64"/>
    <mergeCell ref="G64:H64"/>
    <mergeCell ref="A65:E65"/>
    <mergeCell ref="G65:H65"/>
    <mergeCell ref="A66:E66"/>
    <mergeCell ref="G66:H66"/>
    <mergeCell ref="A61:E61"/>
    <mergeCell ref="G61:H61"/>
    <mergeCell ref="A62:E62"/>
    <mergeCell ref="G62:H62"/>
    <mergeCell ref="A63:E63"/>
    <mergeCell ref="G63:H63"/>
    <mergeCell ref="A55:E55"/>
    <mergeCell ref="L55:P55"/>
    <mergeCell ref="A59:E59"/>
    <mergeCell ref="G59:H59"/>
    <mergeCell ref="A60:E60"/>
    <mergeCell ref="G60:H60"/>
    <mergeCell ref="A52:E52"/>
    <mergeCell ref="L52:P52"/>
    <mergeCell ref="A53:E53"/>
    <mergeCell ref="L53:P53"/>
    <mergeCell ref="A54:E54"/>
    <mergeCell ref="L54:P54"/>
    <mergeCell ref="A47:E47"/>
    <mergeCell ref="A48:E48"/>
    <mergeCell ref="A49:E49"/>
    <mergeCell ref="A50:E50"/>
    <mergeCell ref="L50:P50"/>
    <mergeCell ref="A51:E51"/>
    <mergeCell ref="L51:P51"/>
    <mergeCell ref="A43:E43"/>
    <mergeCell ref="J43:K43"/>
    <mergeCell ref="L43:P43"/>
    <mergeCell ref="A44:E44"/>
    <mergeCell ref="A45:E45"/>
    <mergeCell ref="A46:E46"/>
    <mergeCell ref="A40:E40"/>
    <mergeCell ref="L40:P40"/>
    <mergeCell ref="A41:E41"/>
    <mergeCell ref="L41:P41"/>
    <mergeCell ref="A42:E42"/>
    <mergeCell ref="L42:P42"/>
    <mergeCell ref="A37:E37"/>
    <mergeCell ref="L37:P37"/>
    <mergeCell ref="A38:E38"/>
    <mergeCell ref="L38:P38"/>
    <mergeCell ref="A39:E39"/>
    <mergeCell ref="L39:P39"/>
    <mergeCell ref="L33:P33"/>
    <mergeCell ref="A34:E34"/>
    <mergeCell ref="L34:P34"/>
    <mergeCell ref="A35:E35"/>
    <mergeCell ref="L35:P35"/>
    <mergeCell ref="A36:E36"/>
    <mergeCell ref="L36:P36"/>
    <mergeCell ref="A26:E26"/>
    <mergeCell ref="A27:E27"/>
    <mergeCell ref="A28:E28"/>
    <mergeCell ref="A29:E29"/>
    <mergeCell ref="A30:E30"/>
    <mergeCell ref="A33:E33"/>
    <mergeCell ref="A20:E20"/>
    <mergeCell ref="A21:E21"/>
    <mergeCell ref="A22:E22"/>
    <mergeCell ref="A23:E23"/>
    <mergeCell ref="A24:E24"/>
    <mergeCell ref="A25:E25"/>
    <mergeCell ref="A14:E14"/>
    <mergeCell ref="A15:E15"/>
    <mergeCell ref="A16:E16"/>
    <mergeCell ref="A17:E17"/>
    <mergeCell ref="A18:E18"/>
    <mergeCell ref="A19:E19"/>
    <mergeCell ref="A12:E12"/>
    <mergeCell ref="K12:L12"/>
    <mergeCell ref="M12:N12"/>
    <mergeCell ref="A13:E13"/>
    <mergeCell ref="K13:L13"/>
    <mergeCell ref="M13:N13"/>
    <mergeCell ref="A10:E10"/>
    <mergeCell ref="K10:L10"/>
    <mergeCell ref="M10:N10"/>
    <mergeCell ref="A11:E11"/>
    <mergeCell ref="K11:L11"/>
    <mergeCell ref="M11:N11"/>
    <mergeCell ref="A6:E6"/>
    <mergeCell ref="A7:E7"/>
    <mergeCell ref="A8:E8"/>
    <mergeCell ref="A9:E9"/>
    <mergeCell ref="K9:L9"/>
    <mergeCell ref="M9:N9"/>
    <mergeCell ref="A3:E3"/>
    <mergeCell ref="J3:K3"/>
    <mergeCell ref="L3:M3"/>
    <mergeCell ref="A4:E4"/>
    <mergeCell ref="N4:R4"/>
    <mergeCell ref="A5:E5"/>
    <mergeCell ref="A1:E1"/>
    <mergeCell ref="H1:I1"/>
    <mergeCell ref="J1:M1"/>
    <mergeCell ref="A2:E2"/>
    <mergeCell ref="J2:K2"/>
    <mergeCell ref="L2:M2"/>
  </mergeCells>
  <hyperlinks>
    <hyperlink ref="G76" r:id="rId1" xr:uid="{F144A7FD-8E2C-4A25-9254-E1A10A93A364}"/>
    <hyperlink ref="G60" r:id="rId2" display="https://allegro.cz/produkt/mechanicka-klavesnice-spinace-gateron-brown-pro-3-0-predmazane-110-ks-1a03a194-59c6-4ab7-bef3-70fca2c897a8?offerId=14999298358&amp;utm_feed=712e6653-4749-4512-b084-b6e297fc9e0b&amp;utm_source=google&amp;utm_medium=cpc&amp;utm_campaign=CZ%3EElectro%3EComputers%3E3P%3EPLA&amp;ev_adgr=Ad%20group%201&amp;ev_campaign_id=22848223665&amp;gad_source=1&amp;gad_campaignid=22848223665&amp;gbraid=0AAAAApZ4Y9TrmTxzg6MMZGhEdpwW566HL&amp;gclid=CjwKCAiAj8LLBhAkEiwAJjbY784zh6GEzndhxq5QKpzX8sBm0vYArJz1veYanQpGR-LRBlIBNPRNLRoCJTwQAvD_BwE" xr:uid="{ABFA134D-3346-4BE0-9666-BCB03FB102C4}"/>
    <hyperlink ref="G61" r:id="rId3" xr:uid="{8E7ACDB6-38F1-4AAE-A8E4-18A83A9A8DBC}"/>
    <hyperlink ref="G62" r:id="rId4" xr:uid="{76C5EB65-A3DF-4D0F-80D2-38D16DE3B3F0}"/>
    <hyperlink ref="G63" r:id="rId5" xr:uid="{FBEE23C9-1B21-45F5-A00D-6CBE9E949C5E}"/>
    <hyperlink ref="G64" r:id="rId6" xr:uid="{A04D82D1-D77D-4CEE-A62D-25FD0B411FDF}"/>
    <hyperlink ref="G65" r:id="rId7" xr:uid="{69F9F4FF-38CF-41DB-83E6-8B5E582AF09A}"/>
    <hyperlink ref="G66" r:id="rId8" xr:uid="{F816F00A-FDF9-4B17-B2E4-AEA50D28BDED}"/>
    <hyperlink ref="G67" r:id="rId9" xr:uid="{BE234A25-94F1-41F8-96CD-89AE233A32ED}"/>
    <hyperlink ref="G68" r:id="rId10" xr:uid="{610FEC5C-61DE-49AC-AE49-B13A70765A30}"/>
    <hyperlink ref="G69" r:id="rId11" display="https://allegro.cz/produkt/uv-pryskyrice-anycubic-water-washable-clear-1-kg-f9882644-07f3-47ec-83a0-7f8d33f6e1a2?offerId=14168569346&amp;utm_feed=712e6653-4749-4512-b084-b6e297fc9e0b&amp;utm_source=google&amp;utm_medium=cpc&amp;utm_campaign=CZ%3EElectro%3EComputers%3E3P%3EPLA&amp;ev_adgr=Ad%20group%201&amp;ev_campaign_id=22848223665&amp;gad_source=1&amp;gad_campaignid=22848223665&amp;gbraid=0AAAAApZ4Y9T8t_uDEBM4fJCPVUpjRT_dI&amp;gclid=Cj0KCQiA-NHLBhDSARIsAIhe9X3GIvpUyLb9B49Jltg0v37K9r2J4_E80NqC2qasr7GmzvTXO-puMD8aApHLEALw_wcB" xr:uid="{DF78469A-5836-4C0F-96F1-62569F50D98D}"/>
    <hyperlink ref="G70" r:id="rId12" display="https://allegro.cz/produkt/spinac-zapalovani-3-polohy-on-off-start-quad-traktor-sekacka-f2aa7911-b173-413e-b567-5ea15c33551e?offerId=17748141881&amp;utm_feed=712e6653-4749-4512-b084-b6e297fc9e0b&amp;utm_source=google&amp;utm_medium=cpc&amp;utm_campaign=CZ%3EAuto%3EVehicle-Parts-Moto-Accessories%3E3P%3EPMAX&amp;ev_campaign_id=20977861611&amp;gad_source=1&amp;gad_campaignid=20977873899&amp;gbraid=0AAAAApZ4Y9RnPbB8s7FvCidAMubRJhKLK&amp;gclid=CjwKCAiAybfLBhAjEiwAI0mBBkLY5FJhkTdtRjLOvIvBaaYFZn26Dbqju5H8z1E5McXuRuCfqRKn0RoC7b4QAvD_BwE" xr:uid="{1C0B6DAB-C07B-44FA-93DA-B1A8EDC8DB6B}"/>
    <hyperlink ref="G71" r:id="rId13" xr:uid="{19EFF464-353D-4B1B-B1C2-C2864C9BE705}"/>
    <hyperlink ref="G72" r:id="rId14" xr:uid="{3907995E-3277-4A47-8576-F94D2F3FE9C8}"/>
    <hyperlink ref="G73" r:id="rId15" xr:uid="{7EA54039-5770-469A-A9F5-F35F10845349}"/>
    <hyperlink ref="G74" r:id="rId16" xr:uid="{64AD05A6-079E-46ED-A877-85F28C3E4992}"/>
    <hyperlink ref="G75" r:id="rId17" display="https://allegro.cz/nabidka/flashdisk-prenosny-cerny-4gb-2-0-15097501285?context=f2fca9e907985b5b6193b238b6a4731e0a218b5dba9a6378eda5c09d69739c675a24584052be1238a92f3f5d4d3cbee10271a3203a8ccb6722afb88265da1621d94036a72a946db354a8a6269d14f89129cd5b376e028a793d9926ac79e48f9c625423c6dc78be09a56876a37507ad6bb81779aabac3e0bba1eaa33e553ab57b35fcec81c659f53bd2dd30ba70238760&amp;sellerHasChanged=false&amp;fromVariant=15097529032" xr:uid="{C7D8BF94-2F1A-46EB-8AA5-451BFC24A802}"/>
    <hyperlink ref="G77" r:id="rId18" xr:uid="{3F81D88B-5DA9-401C-A1FC-4119878DC414}"/>
    <hyperlink ref="G78" r:id="rId19" xr:uid="{81A09CC3-BC8C-4851-9A8E-1AD783AD1C8F}"/>
  </hyperlinks>
  <pageMargins left="0.7" right="0.7" top="0.78740157499999996" bottom="0.78740157499999996" header="0.3" footer="0.3"/>
  <pageSetup paperSize="9" orientation="portrait" horizontalDpi="360" verticalDpi="360"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60F1-B3A5-4E25-9088-540D1BAAA145}">
  <dimension ref="A1:R302"/>
  <sheetViews>
    <sheetView topLeftCell="F1" workbookViewId="0">
      <selection activeCell="O11" sqref="O11:R11"/>
    </sheetView>
  </sheetViews>
  <sheetFormatPr defaultRowHeight="15" x14ac:dyDescent="0.25"/>
  <cols>
    <col min="1" max="3" width="15.5703125" customWidth="1"/>
    <col min="4" max="4" width="26.7109375" customWidth="1"/>
    <col min="5" max="6" width="15.5703125" customWidth="1"/>
    <col min="7" max="7" width="18.5703125" customWidth="1"/>
    <col min="10" max="10" width="14.28515625" customWidth="1"/>
    <col min="11" max="11" width="10.140625" bestFit="1" customWidth="1"/>
    <col min="14" max="14" width="14.28515625" customWidth="1"/>
    <col min="15" max="15" width="13.28515625" customWidth="1"/>
    <col min="16" max="16" width="11.140625" customWidth="1"/>
    <col min="17" max="17" width="13.28515625" customWidth="1"/>
    <col min="18" max="18" width="11.140625" customWidth="1"/>
  </cols>
  <sheetData>
    <row r="1" spans="1:18" ht="16.5" thickBot="1" x14ac:dyDescent="0.3">
      <c r="A1" s="140" t="s">
        <v>64</v>
      </c>
      <c r="B1" s="141"/>
      <c r="C1" s="141"/>
      <c r="D1" s="141"/>
      <c r="E1" s="141"/>
      <c r="F1" s="142"/>
      <c r="G1" s="26" t="s">
        <v>29</v>
      </c>
      <c r="H1" s="124">
        <f ca="1">TODAY()</f>
        <v>46157</v>
      </c>
      <c r="I1" s="125"/>
      <c r="J1" s="137" t="s">
        <v>99</v>
      </c>
      <c r="K1" s="138"/>
      <c r="L1" s="138"/>
      <c r="M1" s="138"/>
      <c r="N1" s="138"/>
      <c r="O1" s="138"/>
      <c r="P1" s="138"/>
      <c r="Q1" s="139"/>
    </row>
    <row r="2" spans="1:18" ht="15.75" thickBot="1" x14ac:dyDescent="0.3">
      <c r="A2" s="130" t="s">
        <v>65</v>
      </c>
      <c r="B2" s="131"/>
      <c r="C2" s="131"/>
      <c r="D2" s="131"/>
      <c r="E2" s="131"/>
      <c r="F2" s="131"/>
      <c r="G2" s="132" t="s">
        <v>100</v>
      </c>
      <c r="H2" s="133"/>
      <c r="I2" s="134"/>
      <c r="J2" s="148" t="s">
        <v>102</v>
      </c>
      <c r="K2" s="149"/>
      <c r="L2" s="149"/>
      <c r="M2" s="150"/>
      <c r="N2" s="148" t="s">
        <v>101</v>
      </c>
      <c r="O2" s="149"/>
      <c r="P2" s="149"/>
      <c r="Q2" s="150"/>
    </row>
    <row r="3" spans="1:18" ht="15.75" thickBot="1" x14ac:dyDescent="0.3">
      <c r="A3" s="44" t="s">
        <v>66</v>
      </c>
      <c r="B3" s="44" t="s">
        <v>108</v>
      </c>
      <c r="C3" s="44" t="s">
        <v>107</v>
      </c>
      <c r="D3" s="44" t="s">
        <v>67</v>
      </c>
      <c r="E3" s="44" t="s">
        <v>106</v>
      </c>
      <c r="F3" s="49" t="s">
        <v>68</v>
      </c>
      <c r="G3" s="50" t="s">
        <v>105</v>
      </c>
      <c r="H3" s="135">
        <f>SUM(B4:B33)+SUM(B37:B67)+SUM(B71:B100)+SUM(B104:B134)+SUM(B138:B168)+SUM(B172:B201)+SUM(B205:B235)+SUM(B239:B268)+SUM(B272:B302)</f>
        <v>0</v>
      </c>
      <c r="I3" s="136"/>
      <c r="J3" s="126" t="s">
        <v>32</v>
      </c>
      <c r="K3" s="127"/>
      <c r="L3" s="128">
        <f>'DASHCLUSTER classic V1'!L2</f>
        <v>1.7</v>
      </c>
      <c r="M3" s="129"/>
      <c r="N3" s="151" t="s">
        <v>32</v>
      </c>
      <c r="O3" s="127"/>
      <c r="P3" s="128">
        <f>'DASHCLUSTER premium V1'!L2</f>
        <v>0.5</v>
      </c>
      <c r="Q3" s="129"/>
    </row>
    <row r="4" spans="1:18" ht="15.75" thickBot="1" x14ac:dyDescent="0.3">
      <c r="A4" s="56" t="s">
        <v>69</v>
      </c>
      <c r="B4" s="58"/>
      <c r="C4" s="48"/>
      <c r="D4" s="59" t="s">
        <v>109</v>
      </c>
      <c r="E4" s="60"/>
      <c r="F4" s="68">
        <f>IF(D4="DASHCLUSTER classic V1",(E4*$L$8)-B4+C4,IF(D4="DASHCLUSTER premium V1",(E4*$P$8)-B4+C4,IF(D4="Bez prodejů",-B4+C4,"")))</f>
        <v>0</v>
      </c>
      <c r="G4" s="82" t="s">
        <v>240</v>
      </c>
      <c r="H4" s="162">
        <f>SUM(C4:C33)+SUM(C37:C67)+SUM(C71:C100)+SUM(C104:C134)+SUM(C138:C168)+SUM(C172:C201)+SUM(C205:C235)+SUM(C239:C268)+SUM(C272:C302)</f>
        <v>0</v>
      </c>
      <c r="I4" s="163"/>
      <c r="J4" s="126" t="s">
        <v>37</v>
      </c>
      <c r="K4" s="127"/>
      <c r="L4" s="160">
        <f>'DASHCLUSTER classic V1'!L3</f>
        <v>0.15</v>
      </c>
      <c r="M4" s="129"/>
      <c r="N4" s="151" t="s">
        <v>37</v>
      </c>
      <c r="O4" s="127"/>
      <c r="P4" s="160">
        <f>'DASHCLUSTER premium V1'!L3</f>
        <v>0.15</v>
      </c>
      <c r="Q4" s="129"/>
    </row>
    <row r="5" spans="1:18" ht="15.75" thickBot="1" x14ac:dyDescent="0.3">
      <c r="A5" s="56" t="s">
        <v>70</v>
      </c>
      <c r="B5" s="61"/>
      <c r="C5" s="52"/>
      <c r="D5" s="53" t="s">
        <v>109</v>
      </c>
      <c r="E5" s="62"/>
      <c r="F5" s="80">
        <f>IF(D5="DASHCLUSTER classic V1",(E5*$L$8)-B5+C5,IF(D5="DASHCLUSTER premium V1",(E5*$P$8)-B5+C5,IF(D5="Bez prodejů",-B5+C5,"")))</f>
        <v>0</v>
      </c>
      <c r="G5" s="83" t="s">
        <v>242</v>
      </c>
      <c r="H5" s="168">
        <f>SUM(E4:E33)+SUM(E37:E67)+SUM(E71:E100)+SUM(E104:E134)+SUM(E138:E168)+SUM(E172:E201)+SUM(E205:E235)+SUM(E239:E268)+SUM(E272:E302)</f>
        <v>0</v>
      </c>
      <c r="I5" s="169"/>
      <c r="J5" s="152" t="s">
        <v>31</v>
      </c>
      <c r="K5" s="153"/>
      <c r="L5" s="143">
        <f>'DASHCLUSTER classic V1'!M9</f>
        <v>368.55073333333331</v>
      </c>
      <c r="M5" s="144"/>
      <c r="N5" s="161" t="s">
        <v>31</v>
      </c>
      <c r="O5" s="153"/>
      <c r="P5" s="143">
        <f>'DASHCLUSTER premium V1'!M9</f>
        <v>853.33691919191915</v>
      </c>
      <c r="Q5" s="144"/>
    </row>
    <row r="6" spans="1:18" ht="15.75" thickBot="1" x14ac:dyDescent="0.3">
      <c r="A6" s="56" t="s">
        <v>71</v>
      </c>
      <c r="B6" s="61"/>
      <c r="C6" s="52"/>
      <c r="D6" s="53" t="s">
        <v>109</v>
      </c>
      <c r="E6" s="62"/>
      <c r="F6" s="81">
        <f t="shared" ref="F6:F33" si="0">IF(D6="DASHCLUSTER classic V1",(E6*$L$8)-B6+C6,IF(D6="DASHCLUSTER premium V1",(E6*$P$8)-B6+C6,IF(D6="Bez prodejů",-B6+C6,"")))</f>
        <v>0</v>
      </c>
      <c r="G6" s="85" t="s">
        <v>243</v>
      </c>
      <c r="H6" s="164" cm="1">
        <f t="array" ref="H6">SUM((F4:F33)+SUM(F37:F67)+SUM(F71:F100)+SUM(F104:F134)+SUM(F138:F168)+SUM(F172:F201)+SUM(F205:F235)+SUM(F239:F268)+SUM(F272:F302))*(1-L4)</f>
        <v>0</v>
      </c>
      <c r="I6" s="165"/>
      <c r="J6" s="152" t="s">
        <v>34</v>
      </c>
      <c r="K6" s="153"/>
      <c r="L6" s="154">
        <f>'DASHCLUSTER classic V1'!M10</f>
        <v>995.08698000000004</v>
      </c>
      <c r="M6" s="155"/>
      <c r="N6" s="161" t="s">
        <v>34</v>
      </c>
      <c r="O6" s="153"/>
      <c r="P6" s="154">
        <f>'DASHCLUSTER premium V1'!M10</f>
        <v>1280.0053787878787</v>
      </c>
      <c r="Q6" s="155"/>
    </row>
    <row r="7" spans="1:18" ht="15.75" thickBot="1" x14ac:dyDescent="0.3">
      <c r="A7" s="51" t="s">
        <v>72</v>
      </c>
      <c r="B7" s="61"/>
      <c r="C7" s="52"/>
      <c r="D7" s="53" t="s">
        <v>109</v>
      </c>
      <c r="E7" s="62"/>
      <c r="F7" s="67">
        <f t="shared" si="0"/>
        <v>0</v>
      </c>
      <c r="G7" s="83" t="s">
        <v>241</v>
      </c>
      <c r="H7" s="166">
        <f>H6/2</f>
        <v>0</v>
      </c>
      <c r="I7" s="167"/>
      <c r="J7" s="152" t="s">
        <v>35</v>
      </c>
      <c r="K7" s="153"/>
      <c r="L7" s="143">
        <f>'DASHCLUSTER classic V1'!M11</f>
        <v>630.44926666666674</v>
      </c>
      <c r="M7" s="144"/>
      <c r="N7" s="161" t="s">
        <v>35</v>
      </c>
      <c r="O7" s="153"/>
      <c r="P7" s="143">
        <f>'DASHCLUSTER premium V1'!M11</f>
        <v>445.66308080808085</v>
      </c>
      <c r="Q7" s="144"/>
    </row>
    <row r="8" spans="1:18" ht="15.75" thickBot="1" x14ac:dyDescent="0.3">
      <c r="A8" s="56" t="s">
        <v>73</v>
      </c>
      <c r="B8" s="61"/>
      <c r="C8" s="52"/>
      <c r="D8" s="53" t="s">
        <v>109</v>
      </c>
      <c r="E8" s="62"/>
      <c r="F8" s="68">
        <f t="shared" si="0"/>
        <v>0</v>
      </c>
      <c r="G8" s="94" t="s">
        <v>264</v>
      </c>
      <c r="H8" s="176">
        <f>0-SUM(J13:J33)/2</f>
        <v>-504.22500000000002</v>
      </c>
      <c r="I8" s="177"/>
      <c r="J8" s="156" t="s">
        <v>36</v>
      </c>
      <c r="K8" s="157"/>
      <c r="L8" s="158">
        <f>'DASHCLUSTER classic V1'!M12</f>
        <v>535.8818766666667</v>
      </c>
      <c r="M8" s="159"/>
      <c r="N8" s="156" t="s">
        <v>36</v>
      </c>
      <c r="O8" s="157"/>
      <c r="P8" s="158">
        <f>'DASHCLUSTER premium V1'!M12</f>
        <v>378.81361868686872</v>
      </c>
      <c r="Q8" s="159"/>
    </row>
    <row r="9" spans="1:18" ht="15.75" thickBot="1" x14ac:dyDescent="0.3">
      <c r="A9" s="51" t="s">
        <v>74</v>
      </c>
      <c r="B9" s="61"/>
      <c r="C9" s="52"/>
      <c r="D9" s="53" t="s">
        <v>109</v>
      </c>
      <c r="E9" s="62"/>
      <c r="F9" s="67">
        <f t="shared" si="0"/>
        <v>0</v>
      </c>
      <c r="G9" s="94" t="s">
        <v>281</v>
      </c>
      <c r="H9" s="176">
        <f>0-SUM(J13:J33)</f>
        <v>-1008.45</v>
      </c>
      <c r="I9" s="177"/>
      <c r="J9" s="130" t="s">
        <v>63</v>
      </c>
      <c r="K9" s="147"/>
      <c r="L9" s="145">
        <f>'DASHCLUSTER classic V1'!M13</f>
        <v>999</v>
      </c>
      <c r="M9" s="146"/>
      <c r="N9" s="130" t="s">
        <v>63</v>
      </c>
      <c r="O9" s="147"/>
      <c r="P9" s="145">
        <f>'DASHCLUSTER premium V1'!M13</f>
        <v>1299</v>
      </c>
      <c r="Q9" s="146"/>
    </row>
    <row r="10" spans="1:18" ht="15.75" thickBot="1" x14ac:dyDescent="0.3">
      <c r="A10" s="56" t="s">
        <v>75</v>
      </c>
      <c r="B10" s="61"/>
      <c r="C10" s="52"/>
      <c r="D10" s="53" t="s">
        <v>109</v>
      </c>
      <c r="E10" s="62"/>
      <c r="F10" s="68">
        <f t="shared" si="0"/>
        <v>0</v>
      </c>
    </row>
    <row r="11" spans="1:18" ht="15.75" thickBot="1" x14ac:dyDescent="0.3">
      <c r="A11" s="51" t="s">
        <v>76</v>
      </c>
      <c r="B11" s="61"/>
      <c r="C11" s="52"/>
      <c r="D11" s="53" t="s">
        <v>109</v>
      </c>
      <c r="E11" s="62"/>
      <c r="F11" s="67">
        <f t="shared" si="0"/>
        <v>0</v>
      </c>
      <c r="H11" s="180" t="s">
        <v>260</v>
      </c>
      <c r="I11" s="181"/>
      <c r="J11" s="181"/>
      <c r="K11" s="181"/>
      <c r="L11" s="181"/>
      <c r="M11" s="182"/>
      <c r="O11" s="117" t="s">
        <v>294</v>
      </c>
      <c r="P11" s="118"/>
      <c r="Q11" s="118"/>
      <c r="R11" s="119"/>
    </row>
    <row r="12" spans="1:18" ht="15.75" thickBot="1" x14ac:dyDescent="0.3">
      <c r="A12" s="56" t="s">
        <v>77</v>
      </c>
      <c r="B12" s="61"/>
      <c r="C12" s="52"/>
      <c r="D12" s="53" t="s">
        <v>109</v>
      </c>
      <c r="E12" s="62"/>
      <c r="F12" s="68">
        <f t="shared" si="0"/>
        <v>0</v>
      </c>
      <c r="H12" s="170" t="s">
        <v>41</v>
      </c>
      <c r="I12" s="171"/>
      <c r="J12" s="84" t="s">
        <v>261</v>
      </c>
      <c r="K12" s="92" t="s">
        <v>262</v>
      </c>
      <c r="L12" s="183" t="s">
        <v>266</v>
      </c>
      <c r="M12" s="184"/>
      <c r="O12" s="120" t="s">
        <v>296</v>
      </c>
      <c r="P12" s="121"/>
      <c r="Q12" s="122" t="s">
        <v>295</v>
      </c>
      <c r="R12" s="123"/>
    </row>
    <row r="13" spans="1:18" ht="15.75" thickBot="1" x14ac:dyDescent="0.3">
      <c r="A13" s="56" t="s">
        <v>78</v>
      </c>
      <c r="B13" s="61"/>
      <c r="C13" s="52"/>
      <c r="D13" s="53" t="s">
        <v>109</v>
      </c>
      <c r="E13" s="62"/>
      <c r="F13" s="67">
        <f t="shared" si="0"/>
        <v>0</v>
      </c>
      <c r="H13" s="172" t="s">
        <v>263</v>
      </c>
      <c r="I13" s="173"/>
      <c r="J13" s="86">
        <v>362.45</v>
      </c>
      <c r="K13" s="89">
        <v>46049</v>
      </c>
      <c r="L13" s="185" t="s">
        <v>267</v>
      </c>
      <c r="M13" s="186"/>
      <c r="O13" s="58">
        <v>1008.45</v>
      </c>
      <c r="P13" s="112">
        <v>46049</v>
      </c>
      <c r="Q13" s="58">
        <v>500</v>
      </c>
      <c r="R13" s="113">
        <v>46076</v>
      </c>
    </row>
    <row r="14" spans="1:18" ht="15.75" thickBot="1" x14ac:dyDescent="0.3">
      <c r="A14" s="56" t="s">
        <v>79</v>
      </c>
      <c r="B14" s="61"/>
      <c r="C14" s="52"/>
      <c r="D14" s="53" t="s">
        <v>109</v>
      </c>
      <c r="E14" s="62"/>
      <c r="F14" s="68">
        <f t="shared" si="0"/>
        <v>0</v>
      </c>
      <c r="H14" s="174" t="s">
        <v>265</v>
      </c>
      <c r="I14" s="175"/>
      <c r="J14" s="87">
        <v>168</v>
      </c>
      <c r="K14" s="90">
        <v>46062</v>
      </c>
      <c r="L14" s="187" t="s">
        <v>268</v>
      </c>
      <c r="M14" s="188"/>
      <c r="O14" s="114" t="s">
        <v>297</v>
      </c>
      <c r="P14" s="115"/>
      <c r="Q14" s="115"/>
      <c r="R14" s="116"/>
    </row>
    <row r="15" spans="1:18" ht="15.75" thickBot="1" x14ac:dyDescent="0.3">
      <c r="A15" s="51" t="s">
        <v>80</v>
      </c>
      <c r="B15" s="61"/>
      <c r="C15" s="52"/>
      <c r="D15" s="53" t="s">
        <v>109</v>
      </c>
      <c r="E15" s="62"/>
      <c r="F15" s="67">
        <f t="shared" si="0"/>
        <v>0</v>
      </c>
      <c r="H15" s="174" t="s">
        <v>274</v>
      </c>
      <c r="I15" s="175"/>
      <c r="J15" s="87">
        <v>69.72</v>
      </c>
      <c r="K15" s="90">
        <v>46067</v>
      </c>
      <c r="L15" s="187" t="s">
        <v>275</v>
      </c>
      <c r="M15" s="188"/>
      <c r="O15" s="58"/>
      <c r="P15" s="111"/>
      <c r="Q15" s="58"/>
      <c r="R15" s="113"/>
    </row>
    <row r="16" spans="1:18" ht="15.75" thickBot="1" x14ac:dyDescent="0.3">
      <c r="A16" s="56" t="s">
        <v>81</v>
      </c>
      <c r="B16" s="61"/>
      <c r="C16" s="52"/>
      <c r="D16" s="53" t="s">
        <v>109</v>
      </c>
      <c r="E16" s="62"/>
      <c r="F16" s="68">
        <f t="shared" si="0"/>
        <v>0</v>
      </c>
      <c r="H16" s="174" t="s">
        <v>276</v>
      </c>
      <c r="I16" s="175"/>
      <c r="J16" s="87">
        <v>173.78</v>
      </c>
      <c r="K16" s="90">
        <v>46067</v>
      </c>
      <c r="L16" s="187" t="s">
        <v>277</v>
      </c>
      <c r="M16" s="188"/>
      <c r="O16" s="114" t="s">
        <v>298</v>
      </c>
      <c r="P16" s="115"/>
      <c r="Q16" s="115"/>
      <c r="R16" s="116"/>
    </row>
    <row r="17" spans="1:18" ht="15.75" thickBot="1" x14ac:dyDescent="0.3">
      <c r="A17" s="51" t="s">
        <v>82</v>
      </c>
      <c r="B17" s="61"/>
      <c r="C17" s="52"/>
      <c r="D17" s="53" t="s">
        <v>109</v>
      </c>
      <c r="E17" s="62"/>
      <c r="F17" s="67">
        <f t="shared" si="0"/>
        <v>0</v>
      </c>
      <c r="H17" s="174" t="s">
        <v>278</v>
      </c>
      <c r="I17" s="175"/>
      <c r="J17" s="87">
        <v>38.64</v>
      </c>
      <c r="K17" s="90">
        <v>46067</v>
      </c>
      <c r="L17" s="187" t="s">
        <v>279</v>
      </c>
      <c r="M17" s="188"/>
      <c r="O17" s="58"/>
      <c r="P17" s="112"/>
      <c r="Q17" s="58"/>
      <c r="R17" s="113"/>
    </row>
    <row r="18" spans="1:18" ht="15.75" thickBot="1" x14ac:dyDescent="0.3">
      <c r="A18" s="56" t="s">
        <v>83</v>
      </c>
      <c r="B18" s="61"/>
      <c r="C18" s="52"/>
      <c r="D18" s="53" t="s">
        <v>109</v>
      </c>
      <c r="E18" s="62"/>
      <c r="F18" s="68">
        <f t="shared" si="0"/>
        <v>0</v>
      </c>
      <c r="H18" s="174" t="s">
        <v>280</v>
      </c>
      <c r="I18" s="175"/>
      <c r="J18" s="87">
        <v>116.33</v>
      </c>
      <c r="K18" s="90">
        <v>46067</v>
      </c>
      <c r="L18" s="187" t="s">
        <v>282</v>
      </c>
      <c r="M18" s="188"/>
      <c r="O18" s="114" t="s">
        <v>298</v>
      </c>
      <c r="P18" s="115"/>
      <c r="Q18" s="115"/>
      <c r="R18" s="116"/>
    </row>
    <row r="19" spans="1:18" ht="15.75" thickBot="1" x14ac:dyDescent="0.3">
      <c r="A19" s="51" t="s">
        <v>84</v>
      </c>
      <c r="B19" s="61"/>
      <c r="C19" s="52"/>
      <c r="D19" s="53" t="s">
        <v>109</v>
      </c>
      <c r="E19" s="62"/>
      <c r="F19" s="67">
        <f t="shared" si="0"/>
        <v>0</v>
      </c>
      <c r="H19" s="174" t="s">
        <v>62</v>
      </c>
      <c r="I19" s="175"/>
      <c r="J19" s="87">
        <v>79.53</v>
      </c>
      <c r="K19" s="90">
        <v>46067</v>
      </c>
      <c r="L19" s="187" t="s">
        <v>283</v>
      </c>
      <c r="M19" s="188"/>
      <c r="O19" s="58"/>
      <c r="P19" s="112"/>
      <c r="Q19" s="58"/>
      <c r="R19" s="113"/>
    </row>
    <row r="20" spans="1:18" ht="15.75" thickBot="1" x14ac:dyDescent="0.3">
      <c r="A20" s="56" t="s">
        <v>85</v>
      </c>
      <c r="B20" s="61"/>
      <c r="C20" s="52"/>
      <c r="D20" s="53" t="s">
        <v>109</v>
      </c>
      <c r="E20" s="62"/>
      <c r="F20" s="68">
        <f t="shared" si="0"/>
        <v>0</v>
      </c>
      <c r="H20" s="174"/>
      <c r="I20" s="175"/>
      <c r="J20" s="87"/>
      <c r="K20" s="90"/>
      <c r="L20" s="189"/>
      <c r="M20" s="190"/>
      <c r="O20" s="114" t="s">
        <v>298</v>
      </c>
      <c r="P20" s="115"/>
      <c r="Q20" s="115"/>
      <c r="R20" s="116"/>
    </row>
    <row r="21" spans="1:18" ht="15.75" thickBot="1" x14ac:dyDescent="0.3">
      <c r="A21" s="51" t="s">
        <v>86</v>
      </c>
      <c r="B21" s="61"/>
      <c r="C21" s="52"/>
      <c r="D21" s="53" t="s">
        <v>109</v>
      </c>
      <c r="E21" s="62"/>
      <c r="F21" s="67">
        <f t="shared" si="0"/>
        <v>0</v>
      </c>
      <c r="H21" s="174"/>
      <c r="I21" s="175"/>
      <c r="J21" s="87"/>
      <c r="K21" s="90"/>
      <c r="L21" s="189"/>
      <c r="M21" s="190"/>
      <c r="O21" s="58"/>
      <c r="P21" s="112"/>
      <c r="Q21" s="58"/>
      <c r="R21" s="113"/>
    </row>
    <row r="22" spans="1:18" ht="15.75" thickBot="1" x14ac:dyDescent="0.3">
      <c r="A22" s="56" t="s">
        <v>87</v>
      </c>
      <c r="B22" s="61"/>
      <c r="C22" s="52"/>
      <c r="D22" s="53" t="s">
        <v>109</v>
      </c>
      <c r="E22" s="62"/>
      <c r="F22" s="68">
        <f t="shared" si="0"/>
        <v>0</v>
      </c>
      <c r="H22" s="174"/>
      <c r="I22" s="175"/>
      <c r="J22" s="87"/>
      <c r="K22" s="90"/>
      <c r="L22" s="189"/>
      <c r="M22" s="190"/>
      <c r="O22" s="114" t="s">
        <v>298</v>
      </c>
      <c r="P22" s="115"/>
      <c r="Q22" s="115"/>
      <c r="R22" s="116"/>
    </row>
    <row r="23" spans="1:18" ht="15.75" thickBot="1" x14ac:dyDescent="0.3">
      <c r="A23" s="51" t="s">
        <v>88</v>
      </c>
      <c r="B23" s="61"/>
      <c r="C23" s="52"/>
      <c r="D23" s="53" t="s">
        <v>109</v>
      </c>
      <c r="E23" s="62"/>
      <c r="F23" s="67">
        <f t="shared" si="0"/>
        <v>0</v>
      </c>
      <c r="H23" s="174"/>
      <c r="I23" s="175"/>
      <c r="J23" s="87"/>
      <c r="K23" s="90"/>
      <c r="L23" s="189"/>
      <c r="M23" s="190"/>
      <c r="O23" s="58"/>
      <c r="P23" s="112"/>
      <c r="Q23" s="58"/>
      <c r="R23" s="113"/>
    </row>
    <row r="24" spans="1:18" ht="15.75" thickBot="1" x14ac:dyDescent="0.3">
      <c r="A24" s="56" t="s">
        <v>89</v>
      </c>
      <c r="B24" s="61"/>
      <c r="C24" s="52"/>
      <c r="D24" s="53" t="s">
        <v>109</v>
      </c>
      <c r="E24" s="62"/>
      <c r="F24" s="68">
        <f t="shared" si="0"/>
        <v>0</v>
      </c>
      <c r="H24" s="174"/>
      <c r="I24" s="175"/>
      <c r="J24" s="87"/>
      <c r="K24" s="90"/>
      <c r="L24" s="189"/>
      <c r="M24" s="190"/>
      <c r="O24" s="114" t="s">
        <v>298</v>
      </c>
      <c r="P24" s="115"/>
      <c r="Q24" s="115"/>
      <c r="R24" s="116"/>
    </row>
    <row r="25" spans="1:18" ht="15.75" thickBot="1" x14ac:dyDescent="0.3">
      <c r="A25" s="51" t="s">
        <v>90</v>
      </c>
      <c r="B25" s="61"/>
      <c r="C25" s="52"/>
      <c r="D25" s="53" t="s">
        <v>109</v>
      </c>
      <c r="E25" s="62"/>
      <c r="F25" s="67">
        <f t="shared" si="0"/>
        <v>0</v>
      </c>
      <c r="H25" s="174"/>
      <c r="I25" s="175"/>
      <c r="J25" s="87"/>
      <c r="K25" s="90"/>
      <c r="L25" s="189"/>
      <c r="M25" s="190"/>
      <c r="O25" s="58"/>
      <c r="P25" s="112"/>
      <c r="Q25" s="58"/>
      <c r="R25" s="113"/>
    </row>
    <row r="26" spans="1:18" ht="15.75" thickBot="1" x14ac:dyDescent="0.3">
      <c r="A26" s="56" t="s">
        <v>91</v>
      </c>
      <c r="B26" s="61"/>
      <c r="C26" s="52"/>
      <c r="D26" s="53" t="s">
        <v>109</v>
      </c>
      <c r="E26" s="62"/>
      <c r="F26" s="68">
        <f t="shared" si="0"/>
        <v>0</v>
      </c>
      <c r="H26" s="174"/>
      <c r="I26" s="175"/>
      <c r="J26" s="87"/>
      <c r="K26" s="90"/>
      <c r="L26" s="189"/>
      <c r="M26" s="190"/>
      <c r="O26" s="114" t="s">
        <v>298</v>
      </c>
      <c r="P26" s="115"/>
      <c r="Q26" s="115"/>
      <c r="R26" s="116"/>
    </row>
    <row r="27" spans="1:18" ht="15.75" thickBot="1" x14ac:dyDescent="0.3">
      <c r="A27" s="51" t="s">
        <v>92</v>
      </c>
      <c r="B27" s="61"/>
      <c r="C27" s="52"/>
      <c r="D27" s="53" t="s">
        <v>109</v>
      </c>
      <c r="E27" s="62"/>
      <c r="F27" s="67">
        <f t="shared" si="0"/>
        <v>0</v>
      </c>
      <c r="H27" s="174"/>
      <c r="I27" s="175"/>
      <c r="J27" s="87"/>
      <c r="K27" s="90"/>
      <c r="L27" s="189"/>
      <c r="M27" s="190"/>
      <c r="O27" s="58"/>
      <c r="P27" s="112"/>
      <c r="Q27" s="58"/>
      <c r="R27" s="113"/>
    </row>
    <row r="28" spans="1:18" ht="15.75" thickBot="1" x14ac:dyDescent="0.3">
      <c r="A28" s="56" t="s">
        <v>93</v>
      </c>
      <c r="B28" s="61"/>
      <c r="C28" s="52"/>
      <c r="D28" s="53" t="s">
        <v>109</v>
      </c>
      <c r="E28" s="62"/>
      <c r="F28" s="68">
        <f t="shared" si="0"/>
        <v>0</v>
      </c>
      <c r="H28" s="174"/>
      <c r="I28" s="175"/>
      <c r="J28" s="87"/>
      <c r="K28" s="90"/>
      <c r="L28" s="189"/>
      <c r="M28" s="190"/>
      <c r="O28" s="114" t="s">
        <v>298</v>
      </c>
      <c r="P28" s="115"/>
      <c r="Q28" s="115"/>
      <c r="R28" s="116"/>
    </row>
    <row r="29" spans="1:18" ht="15.75" thickBot="1" x14ac:dyDescent="0.3">
      <c r="A29" s="51" t="s">
        <v>94</v>
      </c>
      <c r="B29" s="61"/>
      <c r="C29" s="52"/>
      <c r="D29" s="53" t="s">
        <v>109</v>
      </c>
      <c r="E29" s="62"/>
      <c r="F29" s="67">
        <f t="shared" si="0"/>
        <v>0</v>
      </c>
      <c r="H29" s="174"/>
      <c r="I29" s="175"/>
      <c r="J29" s="87"/>
      <c r="K29" s="90"/>
      <c r="L29" s="189"/>
      <c r="M29" s="190"/>
      <c r="O29" s="58"/>
      <c r="P29" s="112"/>
      <c r="Q29" s="58"/>
      <c r="R29" s="113"/>
    </row>
    <row r="30" spans="1:18" ht="15.75" thickBot="1" x14ac:dyDescent="0.3">
      <c r="A30" s="56" t="s">
        <v>95</v>
      </c>
      <c r="B30" s="61"/>
      <c r="C30" s="52"/>
      <c r="D30" s="53" t="s">
        <v>109</v>
      </c>
      <c r="E30" s="62"/>
      <c r="F30" s="68">
        <f t="shared" si="0"/>
        <v>0</v>
      </c>
      <c r="H30" s="174"/>
      <c r="I30" s="175"/>
      <c r="J30" s="87"/>
      <c r="K30" s="90"/>
      <c r="L30" s="189"/>
      <c r="M30" s="190"/>
      <c r="O30" s="114" t="s">
        <v>298</v>
      </c>
      <c r="P30" s="115"/>
      <c r="Q30" s="115"/>
      <c r="R30" s="116"/>
    </row>
    <row r="31" spans="1:18" ht="15.75" thickBot="1" x14ac:dyDescent="0.3">
      <c r="A31" s="51" t="s">
        <v>96</v>
      </c>
      <c r="B31" s="61"/>
      <c r="C31" s="52"/>
      <c r="D31" s="53" t="s">
        <v>109</v>
      </c>
      <c r="E31" s="62"/>
      <c r="F31" s="67">
        <f t="shared" si="0"/>
        <v>0</v>
      </c>
      <c r="H31" s="174"/>
      <c r="I31" s="175"/>
      <c r="J31" s="87"/>
      <c r="K31" s="90"/>
      <c r="L31" s="189"/>
      <c r="M31" s="190"/>
      <c r="O31" s="58"/>
      <c r="P31" s="112"/>
      <c r="Q31" s="58"/>
      <c r="R31" s="113"/>
    </row>
    <row r="32" spans="1:18" ht="15.75" thickBot="1" x14ac:dyDescent="0.3">
      <c r="A32" s="56" t="s">
        <v>97</v>
      </c>
      <c r="B32" s="61"/>
      <c r="C32" s="52"/>
      <c r="D32" s="53" t="s">
        <v>109</v>
      </c>
      <c r="E32" s="62"/>
      <c r="F32" s="68">
        <f t="shared" si="0"/>
        <v>0</v>
      </c>
      <c r="H32" s="174"/>
      <c r="I32" s="175"/>
      <c r="J32" s="87"/>
      <c r="K32" s="90"/>
      <c r="L32" s="189"/>
      <c r="M32" s="190"/>
      <c r="O32" s="114" t="s">
        <v>298</v>
      </c>
      <c r="P32" s="115"/>
      <c r="Q32" s="115"/>
      <c r="R32" s="116"/>
    </row>
    <row r="33" spans="1:18" ht="15.75" thickBot="1" x14ac:dyDescent="0.3">
      <c r="A33" s="57" t="s">
        <v>98</v>
      </c>
      <c r="B33" s="63"/>
      <c r="C33" s="64"/>
      <c r="D33" s="65" t="s">
        <v>109</v>
      </c>
      <c r="E33" s="66"/>
      <c r="F33" s="68">
        <f t="shared" si="0"/>
        <v>0</v>
      </c>
      <c r="H33" s="178"/>
      <c r="I33" s="179"/>
      <c r="J33" s="88"/>
      <c r="K33" s="91"/>
      <c r="L33" s="191"/>
      <c r="M33" s="192"/>
      <c r="O33" s="58"/>
      <c r="P33" s="112"/>
      <c r="Q33" s="58"/>
      <c r="R33" s="113"/>
    </row>
    <row r="34" spans="1:18" ht="15.75" thickBot="1" x14ac:dyDescent="0.3">
      <c r="A34" s="35"/>
      <c r="O34" s="114" t="s">
        <v>298</v>
      </c>
      <c r="P34" s="115"/>
      <c r="Q34" s="115"/>
      <c r="R34" s="116"/>
    </row>
    <row r="35" spans="1:18" ht="15.75" thickBot="1" x14ac:dyDescent="0.3">
      <c r="A35" s="130" t="s">
        <v>110</v>
      </c>
      <c r="B35" s="131"/>
      <c r="C35" s="131"/>
      <c r="D35" s="131"/>
      <c r="E35" s="131"/>
      <c r="F35" s="131"/>
    </row>
    <row r="36" spans="1:18" ht="15.75" thickBot="1" x14ac:dyDescent="0.3">
      <c r="A36" s="44" t="s">
        <v>66</v>
      </c>
      <c r="B36" s="44" t="s">
        <v>108</v>
      </c>
      <c r="C36" s="44" t="s">
        <v>107</v>
      </c>
      <c r="D36" s="44" t="s">
        <v>67</v>
      </c>
      <c r="E36" s="44" t="s">
        <v>106</v>
      </c>
      <c r="F36" s="49" t="s">
        <v>68</v>
      </c>
    </row>
    <row r="37" spans="1:18" ht="15.75" thickBot="1" x14ac:dyDescent="0.3">
      <c r="A37" s="56" t="s">
        <v>111</v>
      </c>
      <c r="B37" s="58"/>
      <c r="C37" s="48"/>
      <c r="D37" s="59" t="s">
        <v>109</v>
      </c>
      <c r="E37" s="60"/>
      <c r="F37" s="68">
        <f>IF(D37="DASHCLUSTER classic V1",(E37*$L$8)-B37+C37,IF(D37="DASHCLUSTER premium V1",(E37*$P$8)-B37+C37,IF(D37="Bez prodejů",-B37+C37,"")))</f>
        <v>0</v>
      </c>
    </row>
    <row r="38" spans="1:18" ht="15.75" thickBot="1" x14ac:dyDescent="0.3">
      <c r="A38" s="56" t="s">
        <v>112</v>
      </c>
      <c r="B38" s="61"/>
      <c r="C38" s="52"/>
      <c r="D38" s="53" t="s">
        <v>109</v>
      </c>
      <c r="E38" s="62"/>
      <c r="F38" s="67">
        <f>IF(D38="DASHCLUSTER classic V1",(E38*$L$8)-B38+C38,IF(D38="DASHCLUSTER premium V1",(E38*$P$8)-B38+C38,IF(D38="Bez prodejů",-B38+C38,"")))</f>
        <v>0</v>
      </c>
    </row>
    <row r="39" spans="1:18" ht="15.75" thickBot="1" x14ac:dyDescent="0.3">
      <c r="A39" s="56" t="s">
        <v>113</v>
      </c>
      <c r="B39" s="61"/>
      <c r="C39" s="52"/>
      <c r="D39" s="53" t="s">
        <v>109</v>
      </c>
      <c r="E39" s="62"/>
      <c r="F39" s="68">
        <f t="shared" ref="F39:F67" si="1">IF(D39="DASHCLUSTER classic V1",(E39*$L$8)-B39+C39,IF(D39="DASHCLUSTER premium V1",(E39*$P$8)-B39+C39,IF(D39="Bez prodejů",-B39+C39,"")))</f>
        <v>0</v>
      </c>
    </row>
    <row r="40" spans="1:18" ht="15.75" thickBot="1" x14ac:dyDescent="0.3">
      <c r="A40" s="56" t="s">
        <v>114</v>
      </c>
      <c r="B40" s="61"/>
      <c r="C40" s="52"/>
      <c r="D40" s="53" t="s">
        <v>109</v>
      </c>
      <c r="E40" s="62"/>
      <c r="F40" s="67">
        <f t="shared" si="1"/>
        <v>0</v>
      </c>
    </row>
    <row r="41" spans="1:18" ht="15.75" thickBot="1" x14ac:dyDescent="0.3">
      <c r="A41" s="56" t="s">
        <v>115</v>
      </c>
      <c r="B41" s="61"/>
      <c r="C41" s="52"/>
      <c r="D41" s="53" t="s">
        <v>109</v>
      </c>
      <c r="E41" s="62"/>
      <c r="F41" s="68">
        <f t="shared" si="1"/>
        <v>0</v>
      </c>
    </row>
    <row r="42" spans="1:18" ht="15.75" thickBot="1" x14ac:dyDescent="0.3">
      <c r="A42" s="56" t="s">
        <v>116</v>
      </c>
      <c r="B42" s="61"/>
      <c r="C42" s="52"/>
      <c r="D42" s="53" t="s">
        <v>109</v>
      </c>
      <c r="E42" s="62"/>
      <c r="F42" s="67">
        <f t="shared" si="1"/>
        <v>0</v>
      </c>
    </row>
    <row r="43" spans="1:18" ht="15.75" thickBot="1" x14ac:dyDescent="0.3">
      <c r="A43" s="56" t="s">
        <v>117</v>
      </c>
      <c r="B43" s="61"/>
      <c r="C43" s="52"/>
      <c r="D43" s="53" t="s">
        <v>109</v>
      </c>
      <c r="E43" s="62"/>
      <c r="F43" s="68">
        <f t="shared" si="1"/>
        <v>0</v>
      </c>
    </row>
    <row r="44" spans="1:18" ht="15.75" thickBot="1" x14ac:dyDescent="0.3">
      <c r="A44" s="56" t="s">
        <v>118</v>
      </c>
      <c r="B44" s="61"/>
      <c r="C44" s="52"/>
      <c r="D44" s="53" t="s">
        <v>109</v>
      </c>
      <c r="E44" s="62"/>
      <c r="F44" s="67">
        <f t="shared" si="1"/>
        <v>0</v>
      </c>
    </row>
    <row r="45" spans="1:18" ht="15.75" thickBot="1" x14ac:dyDescent="0.3">
      <c r="A45" s="56" t="s">
        <v>119</v>
      </c>
      <c r="B45" s="61"/>
      <c r="C45" s="52"/>
      <c r="D45" s="53" t="s">
        <v>109</v>
      </c>
      <c r="E45" s="62"/>
      <c r="F45" s="68">
        <f t="shared" si="1"/>
        <v>0</v>
      </c>
    </row>
    <row r="46" spans="1:18" ht="15.75" thickBot="1" x14ac:dyDescent="0.3">
      <c r="A46" s="56" t="s">
        <v>120</v>
      </c>
      <c r="B46" s="61"/>
      <c r="C46" s="52"/>
      <c r="D46" s="53" t="s">
        <v>109</v>
      </c>
      <c r="E46" s="62"/>
      <c r="F46" s="67">
        <f t="shared" si="1"/>
        <v>0</v>
      </c>
    </row>
    <row r="47" spans="1:18" ht="15.75" thickBot="1" x14ac:dyDescent="0.3">
      <c r="A47" s="56" t="s">
        <v>121</v>
      </c>
      <c r="B47" s="61"/>
      <c r="C47" s="52"/>
      <c r="D47" s="53" t="s">
        <v>109</v>
      </c>
      <c r="E47" s="62"/>
      <c r="F47" s="68">
        <f t="shared" si="1"/>
        <v>0</v>
      </c>
    </row>
    <row r="48" spans="1:18" ht="15.75" thickBot="1" x14ac:dyDescent="0.3">
      <c r="A48" s="56" t="s">
        <v>122</v>
      </c>
      <c r="B48" s="61"/>
      <c r="C48" s="52"/>
      <c r="D48" s="53" t="s">
        <v>109</v>
      </c>
      <c r="E48" s="62"/>
      <c r="F48" s="67">
        <f t="shared" si="1"/>
        <v>0</v>
      </c>
    </row>
    <row r="49" spans="1:6" ht="15.75" thickBot="1" x14ac:dyDescent="0.3">
      <c r="A49" s="56" t="s">
        <v>123</v>
      </c>
      <c r="B49" s="61"/>
      <c r="C49" s="52"/>
      <c r="D49" s="53" t="s">
        <v>109</v>
      </c>
      <c r="E49" s="62"/>
      <c r="F49" s="68">
        <f t="shared" si="1"/>
        <v>0</v>
      </c>
    </row>
    <row r="50" spans="1:6" ht="15.75" thickBot="1" x14ac:dyDescent="0.3">
      <c r="A50" s="56" t="s">
        <v>124</v>
      </c>
      <c r="B50" s="61"/>
      <c r="C50" s="52"/>
      <c r="D50" s="53" t="s">
        <v>109</v>
      </c>
      <c r="E50" s="62"/>
      <c r="F50" s="67">
        <f t="shared" si="1"/>
        <v>0</v>
      </c>
    </row>
    <row r="51" spans="1:6" ht="15.75" thickBot="1" x14ac:dyDescent="0.3">
      <c r="A51" s="56" t="s">
        <v>125</v>
      </c>
      <c r="B51" s="61"/>
      <c r="C51" s="52"/>
      <c r="D51" s="53" t="s">
        <v>109</v>
      </c>
      <c r="E51" s="62"/>
      <c r="F51" s="68">
        <f t="shared" si="1"/>
        <v>0</v>
      </c>
    </row>
    <row r="52" spans="1:6" ht="15.75" thickBot="1" x14ac:dyDescent="0.3">
      <c r="A52" s="56" t="s">
        <v>126</v>
      </c>
      <c r="B52" s="61"/>
      <c r="C52" s="52"/>
      <c r="D52" s="53" t="s">
        <v>109</v>
      </c>
      <c r="E52" s="62"/>
      <c r="F52" s="67">
        <f t="shared" si="1"/>
        <v>0</v>
      </c>
    </row>
    <row r="53" spans="1:6" ht="15.75" thickBot="1" x14ac:dyDescent="0.3">
      <c r="A53" s="56" t="s">
        <v>127</v>
      </c>
      <c r="B53" s="61"/>
      <c r="C53" s="52"/>
      <c r="D53" s="53" t="s">
        <v>109</v>
      </c>
      <c r="E53" s="62"/>
      <c r="F53" s="68">
        <f t="shared" si="1"/>
        <v>0</v>
      </c>
    </row>
    <row r="54" spans="1:6" ht="15.75" thickBot="1" x14ac:dyDescent="0.3">
      <c r="A54" s="56" t="s">
        <v>128</v>
      </c>
      <c r="B54" s="61"/>
      <c r="C54" s="52"/>
      <c r="D54" s="53" t="s">
        <v>109</v>
      </c>
      <c r="E54" s="62"/>
      <c r="F54" s="67">
        <f t="shared" si="1"/>
        <v>0</v>
      </c>
    </row>
    <row r="55" spans="1:6" ht="15.75" thickBot="1" x14ac:dyDescent="0.3">
      <c r="A55" s="56" t="s">
        <v>129</v>
      </c>
      <c r="B55" s="61"/>
      <c r="C55" s="52"/>
      <c r="D55" s="53" t="s">
        <v>109</v>
      </c>
      <c r="E55" s="62"/>
      <c r="F55" s="68">
        <f t="shared" si="1"/>
        <v>0</v>
      </c>
    </row>
    <row r="56" spans="1:6" ht="15.75" thickBot="1" x14ac:dyDescent="0.3">
      <c r="A56" s="56" t="s">
        <v>130</v>
      </c>
      <c r="B56" s="61"/>
      <c r="C56" s="52"/>
      <c r="D56" s="53" t="s">
        <v>109</v>
      </c>
      <c r="E56" s="62"/>
      <c r="F56" s="67">
        <f t="shared" si="1"/>
        <v>0</v>
      </c>
    </row>
    <row r="57" spans="1:6" ht="15.75" thickBot="1" x14ac:dyDescent="0.3">
      <c r="A57" s="56" t="s">
        <v>131</v>
      </c>
      <c r="B57" s="61"/>
      <c r="C57" s="52"/>
      <c r="D57" s="53" t="s">
        <v>109</v>
      </c>
      <c r="E57" s="62"/>
      <c r="F57" s="68">
        <f t="shared" si="1"/>
        <v>0</v>
      </c>
    </row>
    <row r="58" spans="1:6" ht="15.75" thickBot="1" x14ac:dyDescent="0.3">
      <c r="A58" s="56" t="s">
        <v>132</v>
      </c>
      <c r="B58" s="61"/>
      <c r="C58" s="52"/>
      <c r="D58" s="53" t="s">
        <v>109</v>
      </c>
      <c r="E58" s="62"/>
      <c r="F58" s="67">
        <f t="shared" si="1"/>
        <v>0</v>
      </c>
    </row>
    <row r="59" spans="1:6" ht="15.75" thickBot="1" x14ac:dyDescent="0.3">
      <c r="A59" s="56" t="s">
        <v>133</v>
      </c>
      <c r="B59" s="61"/>
      <c r="C59" s="52"/>
      <c r="D59" s="53" t="s">
        <v>109</v>
      </c>
      <c r="E59" s="62"/>
      <c r="F59" s="68">
        <f t="shared" si="1"/>
        <v>0</v>
      </c>
    </row>
    <row r="60" spans="1:6" ht="15.75" thickBot="1" x14ac:dyDescent="0.3">
      <c r="A60" s="56" t="s">
        <v>134</v>
      </c>
      <c r="B60" s="61"/>
      <c r="C60" s="52"/>
      <c r="D60" s="53" t="s">
        <v>109</v>
      </c>
      <c r="E60" s="62"/>
      <c r="F60" s="67">
        <f t="shared" si="1"/>
        <v>0</v>
      </c>
    </row>
    <row r="61" spans="1:6" ht="15.75" thickBot="1" x14ac:dyDescent="0.3">
      <c r="A61" s="56" t="s">
        <v>135</v>
      </c>
      <c r="B61" s="61"/>
      <c r="C61" s="52"/>
      <c r="D61" s="53" t="s">
        <v>109</v>
      </c>
      <c r="E61" s="62"/>
      <c r="F61" s="68">
        <f t="shared" si="1"/>
        <v>0</v>
      </c>
    </row>
    <row r="62" spans="1:6" ht="15.75" thickBot="1" x14ac:dyDescent="0.3">
      <c r="A62" s="56" t="s">
        <v>136</v>
      </c>
      <c r="B62" s="61"/>
      <c r="C62" s="52"/>
      <c r="D62" s="53" t="s">
        <v>109</v>
      </c>
      <c r="E62" s="62"/>
      <c r="F62" s="67">
        <f t="shared" si="1"/>
        <v>0</v>
      </c>
    </row>
    <row r="63" spans="1:6" ht="15.75" thickBot="1" x14ac:dyDescent="0.3">
      <c r="A63" s="56" t="s">
        <v>137</v>
      </c>
      <c r="B63" s="61"/>
      <c r="C63" s="52"/>
      <c r="D63" s="53" t="s">
        <v>109</v>
      </c>
      <c r="E63" s="62"/>
      <c r="F63" s="68">
        <f t="shared" si="1"/>
        <v>0</v>
      </c>
    </row>
    <row r="64" spans="1:6" ht="15.75" thickBot="1" x14ac:dyDescent="0.3">
      <c r="A64" s="56" t="s">
        <v>138</v>
      </c>
      <c r="B64" s="61"/>
      <c r="C64" s="52"/>
      <c r="D64" s="53" t="s">
        <v>109</v>
      </c>
      <c r="E64" s="62"/>
      <c r="F64" s="67">
        <f t="shared" si="1"/>
        <v>0</v>
      </c>
    </row>
    <row r="65" spans="1:6" ht="15.75" thickBot="1" x14ac:dyDescent="0.3">
      <c r="A65" s="69" t="s">
        <v>139</v>
      </c>
      <c r="B65" s="70"/>
      <c r="C65" s="71"/>
      <c r="D65" s="72" t="s">
        <v>109</v>
      </c>
      <c r="E65" s="73"/>
      <c r="F65" s="68">
        <f t="shared" si="1"/>
        <v>0</v>
      </c>
    </row>
    <row r="66" spans="1:6" ht="15.75" thickBot="1" x14ac:dyDescent="0.3">
      <c r="A66" s="47" t="s">
        <v>140</v>
      </c>
      <c r="B66" s="54"/>
      <c r="C66" s="52"/>
      <c r="D66" s="53" t="s">
        <v>109</v>
      </c>
      <c r="E66" s="55"/>
      <c r="F66" s="68">
        <f t="shared" si="1"/>
        <v>0</v>
      </c>
    </row>
    <row r="67" spans="1:6" ht="15.75" thickBot="1" x14ac:dyDescent="0.3">
      <c r="A67" s="47" t="s">
        <v>141</v>
      </c>
      <c r="B67" s="46"/>
      <c r="C67" s="45"/>
      <c r="D67" s="65" t="s">
        <v>109</v>
      </c>
      <c r="E67" s="45"/>
      <c r="F67" s="68">
        <f t="shared" si="1"/>
        <v>0</v>
      </c>
    </row>
    <row r="68" spans="1:6" ht="15.75" thickBot="1" x14ac:dyDescent="0.3"/>
    <row r="69" spans="1:6" ht="15.75" thickBot="1" x14ac:dyDescent="0.3">
      <c r="A69" s="130" t="s">
        <v>142</v>
      </c>
      <c r="B69" s="131"/>
      <c r="C69" s="131"/>
      <c r="D69" s="131"/>
      <c r="E69" s="131"/>
      <c r="F69" s="131"/>
    </row>
    <row r="70" spans="1:6" ht="15.75" thickBot="1" x14ac:dyDescent="0.3">
      <c r="A70" s="44" t="s">
        <v>66</v>
      </c>
      <c r="B70" s="44" t="s">
        <v>108</v>
      </c>
      <c r="C70" s="44" t="s">
        <v>107</v>
      </c>
      <c r="D70" s="44" t="s">
        <v>67</v>
      </c>
      <c r="E70" s="44" t="s">
        <v>106</v>
      </c>
      <c r="F70" s="49" t="s">
        <v>68</v>
      </c>
    </row>
    <row r="71" spans="1:6" ht="15.75" thickBot="1" x14ac:dyDescent="0.3">
      <c r="A71" s="56" t="s">
        <v>143</v>
      </c>
      <c r="B71" s="58"/>
      <c r="C71" s="48"/>
      <c r="D71" s="59" t="s">
        <v>109</v>
      </c>
      <c r="E71" s="60"/>
      <c r="F71" s="68">
        <f>IF(D71="DASHCLUSTER classic V1",(E71*$L$8)-B71+C71,IF(D71="DASHCLUSTER premium V1",(E71*$P$8)-B71+C71,IF(D71="Bez prodejů",-B71+C71,"")))</f>
        <v>0</v>
      </c>
    </row>
    <row r="72" spans="1:6" ht="15.75" thickBot="1" x14ac:dyDescent="0.3">
      <c r="A72" s="56" t="s">
        <v>144</v>
      </c>
      <c r="B72" s="61"/>
      <c r="C72" s="52"/>
      <c r="D72" s="53" t="s">
        <v>109</v>
      </c>
      <c r="E72" s="62"/>
      <c r="F72" s="67">
        <f>IF(D72="DASHCLUSTER classic V1",(E72*$L$8)-B72+C72,IF(D72="DASHCLUSTER premium V1",(E72*$P$8)-B72+C72,IF(D72="Bez prodejů",-B72+C72,"")))</f>
        <v>0</v>
      </c>
    </row>
    <row r="73" spans="1:6" ht="15.75" thickBot="1" x14ac:dyDescent="0.3">
      <c r="A73" s="56" t="s">
        <v>145</v>
      </c>
      <c r="B73" s="61"/>
      <c r="C73" s="52"/>
      <c r="D73" s="53" t="s">
        <v>109</v>
      </c>
      <c r="E73" s="62"/>
      <c r="F73" s="68">
        <f t="shared" ref="F73:F100" si="2">IF(D73="DASHCLUSTER classic V1",(E73*$L$8)-B73+C73,IF(D73="DASHCLUSTER premium V1",(E73*$P$8)-B73+C73,IF(D73="Bez prodejů",-B73+C73,"")))</f>
        <v>0</v>
      </c>
    </row>
    <row r="74" spans="1:6" ht="15.75" thickBot="1" x14ac:dyDescent="0.3">
      <c r="A74" s="56" t="s">
        <v>146</v>
      </c>
      <c r="B74" s="61"/>
      <c r="C74" s="52"/>
      <c r="D74" s="53" t="s">
        <v>109</v>
      </c>
      <c r="E74" s="62"/>
      <c r="F74" s="67">
        <f t="shared" si="2"/>
        <v>0</v>
      </c>
    </row>
    <row r="75" spans="1:6" ht="15.75" thickBot="1" x14ac:dyDescent="0.3">
      <c r="A75" s="56" t="s">
        <v>147</v>
      </c>
      <c r="B75" s="61"/>
      <c r="C75" s="52"/>
      <c r="D75" s="53" t="s">
        <v>109</v>
      </c>
      <c r="E75" s="62"/>
      <c r="F75" s="68">
        <f t="shared" si="2"/>
        <v>0</v>
      </c>
    </row>
    <row r="76" spans="1:6" ht="15.75" thickBot="1" x14ac:dyDescent="0.3">
      <c r="A76" s="56" t="s">
        <v>148</v>
      </c>
      <c r="B76" s="61"/>
      <c r="C76" s="52"/>
      <c r="D76" s="53" t="s">
        <v>109</v>
      </c>
      <c r="E76" s="62"/>
      <c r="F76" s="67">
        <f t="shared" si="2"/>
        <v>0</v>
      </c>
    </row>
    <row r="77" spans="1:6" ht="15.75" thickBot="1" x14ac:dyDescent="0.3">
      <c r="A77" s="56" t="s">
        <v>149</v>
      </c>
      <c r="B77" s="61"/>
      <c r="C77" s="52"/>
      <c r="D77" s="53" t="s">
        <v>109</v>
      </c>
      <c r="E77" s="62"/>
      <c r="F77" s="68">
        <f t="shared" si="2"/>
        <v>0</v>
      </c>
    </row>
    <row r="78" spans="1:6" ht="15.75" thickBot="1" x14ac:dyDescent="0.3">
      <c r="A78" s="56" t="s">
        <v>150</v>
      </c>
      <c r="B78" s="61"/>
      <c r="C78" s="52"/>
      <c r="D78" s="53" t="s">
        <v>109</v>
      </c>
      <c r="E78" s="62"/>
      <c r="F78" s="67">
        <f t="shared" si="2"/>
        <v>0</v>
      </c>
    </row>
    <row r="79" spans="1:6" ht="15.75" thickBot="1" x14ac:dyDescent="0.3">
      <c r="A79" s="56" t="s">
        <v>151</v>
      </c>
      <c r="B79" s="61"/>
      <c r="C79" s="52"/>
      <c r="D79" s="53" t="s">
        <v>109</v>
      </c>
      <c r="E79" s="62"/>
      <c r="F79" s="68">
        <f t="shared" si="2"/>
        <v>0</v>
      </c>
    </row>
    <row r="80" spans="1:6" ht="15.75" thickBot="1" x14ac:dyDescent="0.3">
      <c r="A80" s="56" t="s">
        <v>152</v>
      </c>
      <c r="B80" s="61"/>
      <c r="C80" s="52"/>
      <c r="D80" s="53" t="s">
        <v>109</v>
      </c>
      <c r="E80" s="62"/>
      <c r="F80" s="67">
        <f t="shared" si="2"/>
        <v>0</v>
      </c>
    </row>
    <row r="81" spans="1:6" ht="15.75" thickBot="1" x14ac:dyDescent="0.3">
      <c r="A81" s="56" t="s">
        <v>153</v>
      </c>
      <c r="B81" s="61"/>
      <c r="C81" s="52"/>
      <c r="D81" s="53" t="s">
        <v>109</v>
      </c>
      <c r="E81" s="62"/>
      <c r="F81" s="68">
        <f t="shared" si="2"/>
        <v>0</v>
      </c>
    </row>
    <row r="82" spans="1:6" ht="15.75" thickBot="1" x14ac:dyDescent="0.3">
      <c r="A82" s="56" t="s">
        <v>154</v>
      </c>
      <c r="B82" s="61"/>
      <c r="C82" s="52"/>
      <c r="D82" s="53" t="s">
        <v>109</v>
      </c>
      <c r="E82" s="62"/>
      <c r="F82" s="67">
        <f t="shared" si="2"/>
        <v>0</v>
      </c>
    </row>
    <row r="83" spans="1:6" ht="15.75" thickBot="1" x14ac:dyDescent="0.3">
      <c r="A83" s="56" t="s">
        <v>155</v>
      </c>
      <c r="B83" s="61"/>
      <c r="C83" s="52"/>
      <c r="D83" s="53" t="s">
        <v>109</v>
      </c>
      <c r="E83" s="62"/>
      <c r="F83" s="68">
        <f t="shared" si="2"/>
        <v>0</v>
      </c>
    </row>
    <row r="84" spans="1:6" ht="15.75" thickBot="1" x14ac:dyDescent="0.3">
      <c r="A84" s="56" t="s">
        <v>156</v>
      </c>
      <c r="B84" s="61"/>
      <c r="C84" s="52"/>
      <c r="D84" s="53" t="s">
        <v>109</v>
      </c>
      <c r="E84" s="62"/>
      <c r="F84" s="67">
        <f t="shared" si="2"/>
        <v>0</v>
      </c>
    </row>
    <row r="85" spans="1:6" ht="15.75" thickBot="1" x14ac:dyDescent="0.3">
      <c r="A85" s="56" t="s">
        <v>157</v>
      </c>
      <c r="B85" s="61"/>
      <c r="C85" s="52"/>
      <c r="D85" s="53" t="s">
        <v>109</v>
      </c>
      <c r="E85" s="62"/>
      <c r="F85" s="68">
        <f t="shared" si="2"/>
        <v>0</v>
      </c>
    </row>
    <row r="86" spans="1:6" ht="15.75" thickBot="1" x14ac:dyDescent="0.3">
      <c r="A86" s="56" t="s">
        <v>158</v>
      </c>
      <c r="B86" s="61"/>
      <c r="C86" s="52"/>
      <c r="D86" s="53" t="s">
        <v>109</v>
      </c>
      <c r="E86" s="62"/>
      <c r="F86" s="67">
        <f t="shared" si="2"/>
        <v>0</v>
      </c>
    </row>
    <row r="87" spans="1:6" ht="15.75" thickBot="1" x14ac:dyDescent="0.3">
      <c r="A87" s="56" t="s">
        <v>159</v>
      </c>
      <c r="B87" s="61"/>
      <c r="C87" s="52"/>
      <c r="D87" s="53" t="s">
        <v>109</v>
      </c>
      <c r="E87" s="62"/>
      <c r="F87" s="68">
        <f t="shared" si="2"/>
        <v>0</v>
      </c>
    </row>
    <row r="88" spans="1:6" ht="15.75" thickBot="1" x14ac:dyDescent="0.3">
      <c r="A88" s="56" t="s">
        <v>160</v>
      </c>
      <c r="B88" s="61"/>
      <c r="C88" s="52"/>
      <c r="D88" s="53" t="s">
        <v>109</v>
      </c>
      <c r="E88" s="62"/>
      <c r="F88" s="67">
        <f t="shared" si="2"/>
        <v>0</v>
      </c>
    </row>
    <row r="89" spans="1:6" ht="15.75" thickBot="1" x14ac:dyDescent="0.3">
      <c r="A89" s="56" t="s">
        <v>161</v>
      </c>
      <c r="B89" s="61"/>
      <c r="C89" s="52"/>
      <c r="D89" s="53" t="s">
        <v>109</v>
      </c>
      <c r="E89" s="62"/>
      <c r="F89" s="68">
        <f t="shared" si="2"/>
        <v>0</v>
      </c>
    </row>
    <row r="90" spans="1:6" ht="15.75" thickBot="1" x14ac:dyDescent="0.3">
      <c r="A90" s="56" t="s">
        <v>162</v>
      </c>
      <c r="B90" s="61"/>
      <c r="C90" s="52"/>
      <c r="D90" s="53" t="s">
        <v>109</v>
      </c>
      <c r="E90" s="62"/>
      <c r="F90" s="67">
        <f t="shared" si="2"/>
        <v>0</v>
      </c>
    </row>
    <row r="91" spans="1:6" ht="15.75" thickBot="1" x14ac:dyDescent="0.3">
      <c r="A91" s="56" t="s">
        <v>163</v>
      </c>
      <c r="B91" s="61"/>
      <c r="C91" s="52"/>
      <c r="D91" s="53" t="s">
        <v>109</v>
      </c>
      <c r="E91" s="62"/>
      <c r="F91" s="68">
        <f t="shared" si="2"/>
        <v>0</v>
      </c>
    </row>
    <row r="92" spans="1:6" ht="15.75" thickBot="1" x14ac:dyDescent="0.3">
      <c r="A92" s="56" t="s">
        <v>164</v>
      </c>
      <c r="B92" s="61"/>
      <c r="C92" s="52"/>
      <c r="D92" s="53" t="s">
        <v>109</v>
      </c>
      <c r="E92" s="62"/>
      <c r="F92" s="67">
        <f t="shared" si="2"/>
        <v>0</v>
      </c>
    </row>
    <row r="93" spans="1:6" ht="15.75" thickBot="1" x14ac:dyDescent="0.3">
      <c r="A93" s="56" t="s">
        <v>165</v>
      </c>
      <c r="B93" s="61"/>
      <c r="C93" s="52"/>
      <c r="D93" s="53" t="s">
        <v>109</v>
      </c>
      <c r="E93" s="62"/>
      <c r="F93" s="68">
        <f t="shared" si="2"/>
        <v>0</v>
      </c>
    </row>
    <row r="94" spans="1:6" ht="15.75" thickBot="1" x14ac:dyDescent="0.3">
      <c r="A94" s="56" t="s">
        <v>166</v>
      </c>
      <c r="B94" s="61"/>
      <c r="C94" s="52"/>
      <c r="D94" s="53" t="s">
        <v>109</v>
      </c>
      <c r="E94" s="62"/>
      <c r="F94" s="67">
        <f t="shared" si="2"/>
        <v>0</v>
      </c>
    </row>
    <row r="95" spans="1:6" ht="15.75" thickBot="1" x14ac:dyDescent="0.3">
      <c r="A95" s="56" t="s">
        <v>167</v>
      </c>
      <c r="B95" s="61"/>
      <c r="C95" s="52"/>
      <c r="D95" s="53" t="s">
        <v>109</v>
      </c>
      <c r="E95" s="62"/>
      <c r="F95" s="68">
        <f t="shared" si="2"/>
        <v>0</v>
      </c>
    </row>
    <row r="96" spans="1:6" ht="15.75" thickBot="1" x14ac:dyDescent="0.3">
      <c r="A96" s="56" t="s">
        <v>168</v>
      </c>
      <c r="B96" s="61"/>
      <c r="C96" s="52"/>
      <c r="D96" s="53" t="s">
        <v>109</v>
      </c>
      <c r="E96" s="62"/>
      <c r="F96" s="67">
        <f t="shared" si="2"/>
        <v>0</v>
      </c>
    </row>
    <row r="97" spans="1:6" ht="15.75" thickBot="1" x14ac:dyDescent="0.3">
      <c r="A97" s="56" t="s">
        <v>169</v>
      </c>
      <c r="B97" s="61"/>
      <c r="C97" s="52"/>
      <c r="D97" s="53" t="s">
        <v>109</v>
      </c>
      <c r="E97" s="62"/>
      <c r="F97" s="68">
        <f t="shared" si="2"/>
        <v>0</v>
      </c>
    </row>
    <row r="98" spans="1:6" ht="15.75" thickBot="1" x14ac:dyDescent="0.3">
      <c r="A98" s="56" t="s">
        <v>170</v>
      </c>
      <c r="B98" s="61"/>
      <c r="C98" s="52"/>
      <c r="D98" s="53" t="s">
        <v>109</v>
      </c>
      <c r="E98" s="62"/>
      <c r="F98" s="67">
        <f t="shared" si="2"/>
        <v>0</v>
      </c>
    </row>
    <row r="99" spans="1:6" ht="15.75" thickBot="1" x14ac:dyDescent="0.3">
      <c r="A99" s="56" t="s">
        <v>171</v>
      </c>
      <c r="B99" s="61"/>
      <c r="C99" s="52"/>
      <c r="D99" s="53" t="s">
        <v>109</v>
      </c>
      <c r="E99" s="62"/>
      <c r="F99" s="68">
        <f t="shared" si="2"/>
        <v>0</v>
      </c>
    </row>
    <row r="100" spans="1:6" ht="15.75" thickBot="1" x14ac:dyDescent="0.3">
      <c r="A100" s="56" t="s">
        <v>172</v>
      </c>
      <c r="B100" s="63"/>
      <c r="C100" s="64"/>
      <c r="D100" s="65" t="s">
        <v>109</v>
      </c>
      <c r="E100" s="66"/>
      <c r="F100" s="67">
        <f t="shared" si="2"/>
        <v>0</v>
      </c>
    </row>
    <row r="101" spans="1:6" ht="15.75" thickBot="1" x14ac:dyDescent="0.3"/>
    <row r="102" spans="1:6" ht="15.75" thickBot="1" x14ac:dyDescent="0.3">
      <c r="A102" s="130" t="s">
        <v>173</v>
      </c>
      <c r="B102" s="131"/>
      <c r="C102" s="131"/>
      <c r="D102" s="131"/>
      <c r="E102" s="131"/>
      <c r="F102" s="131"/>
    </row>
    <row r="103" spans="1:6" ht="15.75" thickBot="1" x14ac:dyDescent="0.3">
      <c r="A103" s="44" t="s">
        <v>66</v>
      </c>
      <c r="B103" s="44" t="s">
        <v>108</v>
      </c>
      <c r="C103" s="44" t="s">
        <v>107</v>
      </c>
      <c r="D103" s="44" t="s">
        <v>67</v>
      </c>
      <c r="E103" s="44" t="s">
        <v>106</v>
      </c>
      <c r="F103" s="49" t="s">
        <v>68</v>
      </c>
    </row>
    <row r="104" spans="1:6" ht="15.75" thickBot="1" x14ac:dyDescent="0.3">
      <c r="A104" s="56" t="s">
        <v>174</v>
      </c>
      <c r="B104" s="58"/>
      <c r="C104" s="48"/>
      <c r="D104" s="59" t="s">
        <v>109</v>
      </c>
      <c r="E104" s="60"/>
      <c r="F104" s="68">
        <f>IF(D104="DASHCLUSTER classic V1",(E104*$L$8)-B104+C104,IF(D104="DASHCLUSTER premium V1",(E104*$P$8)-B104+C104,IF(D104="Bez prodejů",-B104+C104,"")))</f>
        <v>0</v>
      </c>
    </row>
    <row r="105" spans="1:6" ht="15.75" thickBot="1" x14ac:dyDescent="0.3">
      <c r="A105" s="56" t="s">
        <v>175</v>
      </c>
      <c r="B105" s="61"/>
      <c r="C105" s="52"/>
      <c r="D105" s="53" t="s">
        <v>109</v>
      </c>
      <c r="E105" s="62"/>
      <c r="F105" s="67">
        <f>IF(D105="DASHCLUSTER classic V1",(E105*$L$8)-B105+C105,IF(D105="DASHCLUSTER premium V1",(E105*$P$8)-B105+C105,IF(D105="Bez prodejů",-B105+C105,"")))</f>
        <v>0</v>
      </c>
    </row>
    <row r="106" spans="1:6" ht="15.75" thickBot="1" x14ac:dyDescent="0.3">
      <c r="A106" s="56" t="s">
        <v>176</v>
      </c>
      <c r="B106" s="61"/>
      <c r="C106" s="52"/>
      <c r="D106" s="53" t="s">
        <v>109</v>
      </c>
      <c r="E106" s="62"/>
      <c r="F106" s="68">
        <f t="shared" ref="F106:F134" si="3">IF(D106="DASHCLUSTER classic V1",(E106*$L$8)-B106+C106,IF(D106="DASHCLUSTER premium V1",(E106*$P$8)-B106+C106,IF(D106="Bez prodejů",-B106+C106,"")))</f>
        <v>0</v>
      </c>
    </row>
    <row r="107" spans="1:6" ht="15.75" thickBot="1" x14ac:dyDescent="0.3">
      <c r="A107" s="56" t="s">
        <v>177</v>
      </c>
      <c r="B107" s="61"/>
      <c r="C107" s="52"/>
      <c r="D107" s="53" t="s">
        <v>109</v>
      </c>
      <c r="E107" s="62"/>
      <c r="F107" s="67">
        <f t="shared" si="3"/>
        <v>0</v>
      </c>
    </row>
    <row r="108" spans="1:6" ht="15.75" thickBot="1" x14ac:dyDescent="0.3">
      <c r="A108" s="56" t="s">
        <v>178</v>
      </c>
      <c r="B108" s="61"/>
      <c r="C108" s="52"/>
      <c r="D108" s="53" t="s">
        <v>109</v>
      </c>
      <c r="E108" s="62"/>
      <c r="F108" s="68">
        <f t="shared" si="3"/>
        <v>0</v>
      </c>
    </row>
    <row r="109" spans="1:6" ht="15.75" thickBot="1" x14ac:dyDescent="0.3">
      <c r="A109" s="56" t="s">
        <v>179</v>
      </c>
      <c r="B109" s="61"/>
      <c r="C109" s="52"/>
      <c r="D109" s="53" t="s">
        <v>109</v>
      </c>
      <c r="E109" s="62"/>
      <c r="F109" s="67">
        <f t="shared" si="3"/>
        <v>0</v>
      </c>
    </row>
    <row r="110" spans="1:6" ht="15.75" thickBot="1" x14ac:dyDescent="0.3">
      <c r="A110" s="56" t="s">
        <v>180</v>
      </c>
      <c r="B110" s="61"/>
      <c r="C110" s="52"/>
      <c r="D110" s="53" t="s">
        <v>109</v>
      </c>
      <c r="E110" s="62"/>
      <c r="F110" s="68">
        <f t="shared" si="3"/>
        <v>0</v>
      </c>
    </row>
    <row r="111" spans="1:6" ht="15.75" thickBot="1" x14ac:dyDescent="0.3">
      <c r="A111" s="56" t="s">
        <v>181</v>
      </c>
      <c r="B111" s="61"/>
      <c r="C111" s="52"/>
      <c r="D111" s="53" t="s">
        <v>109</v>
      </c>
      <c r="E111" s="62"/>
      <c r="F111" s="67">
        <f t="shared" si="3"/>
        <v>0</v>
      </c>
    </row>
    <row r="112" spans="1:6" ht="15.75" thickBot="1" x14ac:dyDescent="0.3">
      <c r="A112" s="56" t="s">
        <v>182</v>
      </c>
      <c r="B112" s="61"/>
      <c r="C112" s="52"/>
      <c r="D112" s="53" t="s">
        <v>109</v>
      </c>
      <c r="E112" s="62"/>
      <c r="F112" s="68">
        <f t="shared" si="3"/>
        <v>0</v>
      </c>
    </row>
    <row r="113" spans="1:6" ht="15.75" thickBot="1" x14ac:dyDescent="0.3">
      <c r="A113" s="56" t="s">
        <v>183</v>
      </c>
      <c r="B113" s="61"/>
      <c r="C113" s="52"/>
      <c r="D113" s="53" t="s">
        <v>109</v>
      </c>
      <c r="E113" s="62"/>
      <c r="F113" s="67">
        <f t="shared" si="3"/>
        <v>0</v>
      </c>
    </row>
    <row r="114" spans="1:6" ht="15.75" thickBot="1" x14ac:dyDescent="0.3">
      <c r="A114" s="56" t="s">
        <v>184</v>
      </c>
      <c r="B114" s="61"/>
      <c r="C114" s="52"/>
      <c r="D114" s="53" t="s">
        <v>109</v>
      </c>
      <c r="E114" s="62"/>
      <c r="F114" s="68">
        <f t="shared" si="3"/>
        <v>0</v>
      </c>
    </row>
    <row r="115" spans="1:6" ht="15.75" thickBot="1" x14ac:dyDescent="0.3">
      <c r="A115" s="56" t="s">
        <v>185</v>
      </c>
      <c r="B115" s="61"/>
      <c r="C115" s="52"/>
      <c r="D115" s="53" t="s">
        <v>109</v>
      </c>
      <c r="E115" s="62"/>
      <c r="F115" s="67">
        <f t="shared" si="3"/>
        <v>0</v>
      </c>
    </row>
    <row r="116" spans="1:6" ht="15.75" thickBot="1" x14ac:dyDescent="0.3">
      <c r="A116" s="56" t="s">
        <v>186</v>
      </c>
      <c r="B116" s="61"/>
      <c r="C116" s="52"/>
      <c r="D116" s="53" t="s">
        <v>109</v>
      </c>
      <c r="E116" s="62"/>
      <c r="F116" s="68">
        <f t="shared" si="3"/>
        <v>0</v>
      </c>
    </row>
    <row r="117" spans="1:6" ht="15.75" thickBot="1" x14ac:dyDescent="0.3">
      <c r="A117" s="56" t="s">
        <v>187</v>
      </c>
      <c r="B117" s="61"/>
      <c r="C117" s="52"/>
      <c r="D117" s="53" t="s">
        <v>109</v>
      </c>
      <c r="E117" s="62"/>
      <c r="F117" s="67">
        <f t="shared" si="3"/>
        <v>0</v>
      </c>
    </row>
    <row r="118" spans="1:6" ht="15.75" thickBot="1" x14ac:dyDescent="0.3">
      <c r="A118" s="56" t="s">
        <v>188</v>
      </c>
      <c r="B118" s="61"/>
      <c r="C118" s="52"/>
      <c r="D118" s="53" t="s">
        <v>109</v>
      </c>
      <c r="E118" s="62"/>
      <c r="F118" s="68">
        <f t="shared" si="3"/>
        <v>0</v>
      </c>
    </row>
    <row r="119" spans="1:6" ht="15.75" thickBot="1" x14ac:dyDescent="0.3">
      <c r="A119" s="56" t="s">
        <v>189</v>
      </c>
      <c r="B119" s="61"/>
      <c r="C119" s="52"/>
      <c r="D119" s="53" t="s">
        <v>109</v>
      </c>
      <c r="E119" s="62"/>
      <c r="F119" s="67">
        <f t="shared" si="3"/>
        <v>0</v>
      </c>
    </row>
    <row r="120" spans="1:6" ht="15.75" thickBot="1" x14ac:dyDescent="0.3">
      <c r="A120" s="56" t="s">
        <v>190</v>
      </c>
      <c r="B120" s="61"/>
      <c r="C120" s="52"/>
      <c r="D120" s="53" t="s">
        <v>109</v>
      </c>
      <c r="E120" s="62"/>
      <c r="F120" s="68">
        <f t="shared" si="3"/>
        <v>0</v>
      </c>
    </row>
    <row r="121" spans="1:6" ht="15.75" thickBot="1" x14ac:dyDescent="0.3">
      <c r="A121" s="56" t="s">
        <v>191</v>
      </c>
      <c r="B121" s="61"/>
      <c r="C121" s="52"/>
      <c r="D121" s="53" t="s">
        <v>109</v>
      </c>
      <c r="E121" s="62"/>
      <c r="F121" s="67">
        <f t="shared" si="3"/>
        <v>0</v>
      </c>
    </row>
    <row r="122" spans="1:6" ht="15.75" thickBot="1" x14ac:dyDescent="0.3">
      <c r="A122" s="56" t="s">
        <v>192</v>
      </c>
      <c r="B122" s="61"/>
      <c r="C122" s="52"/>
      <c r="D122" s="53" t="s">
        <v>109</v>
      </c>
      <c r="E122" s="62"/>
      <c r="F122" s="68">
        <f t="shared" si="3"/>
        <v>0</v>
      </c>
    </row>
    <row r="123" spans="1:6" ht="15.75" thickBot="1" x14ac:dyDescent="0.3">
      <c r="A123" s="56" t="s">
        <v>193</v>
      </c>
      <c r="B123" s="61"/>
      <c r="C123" s="52"/>
      <c r="D123" s="53" t="s">
        <v>109</v>
      </c>
      <c r="E123" s="62"/>
      <c r="F123" s="67">
        <f t="shared" si="3"/>
        <v>0</v>
      </c>
    </row>
    <row r="124" spans="1:6" ht="15.75" thickBot="1" x14ac:dyDescent="0.3">
      <c r="A124" s="56" t="s">
        <v>194</v>
      </c>
      <c r="B124" s="61"/>
      <c r="C124" s="52"/>
      <c r="D124" s="53" t="s">
        <v>109</v>
      </c>
      <c r="E124" s="62"/>
      <c r="F124" s="68">
        <f t="shared" si="3"/>
        <v>0</v>
      </c>
    </row>
    <row r="125" spans="1:6" ht="15.75" thickBot="1" x14ac:dyDescent="0.3">
      <c r="A125" s="56" t="s">
        <v>195</v>
      </c>
      <c r="B125" s="61"/>
      <c r="C125" s="52"/>
      <c r="D125" s="53" t="s">
        <v>109</v>
      </c>
      <c r="E125" s="62"/>
      <c r="F125" s="67">
        <f t="shared" si="3"/>
        <v>0</v>
      </c>
    </row>
    <row r="126" spans="1:6" ht="15.75" thickBot="1" x14ac:dyDescent="0.3">
      <c r="A126" s="56" t="s">
        <v>196</v>
      </c>
      <c r="B126" s="61"/>
      <c r="C126" s="52"/>
      <c r="D126" s="53" t="s">
        <v>109</v>
      </c>
      <c r="E126" s="62"/>
      <c r="F126" s="68">
        <f t="shared" si="3"/>
        <v>0</v>
      </c>
    </row>
    <row r="127" spans="1:6" ht="15.75" thickBot="1" x14ac:dyDescent="0.3">
      <c r="A127" s="56" t="s">
        <v>197</v>
      </c>
      <c r="B127" s="61"/>
      <c r="C127" s="52"/>
      <c r="D127" s="53" t="s">
        <v>109</v>
      </c>
      <c r="E127" s="62"/>
      <c r="F127" s="67">
        <f t="shared" si="3"/>
        <v>0</v>
      </c>
    </row>
    <row r="128" spans="1:6" ht="15.75" thickBot="1" x14ac:dyDescent="0.3">
      <c r="A128" s="56" t="s">
        <v>198</v>
      </c>
      <c r="B128" s="61"/>
      <c r="C128" s="52"/>
      <c r="D128" s="53" t="s">
        <v>109</v>
      </c>
      <c r="E128" s="62"/>
      <c r="F128" s="68">
        <f t="shared" si="3"/>
        <v>0</v>
      </c>
    </row>
    <row r="129" spans="1:6" ht="15.75" thickBot="1" x14ac:dyDescent="0.3">
      <c r="A129" s="56" t="s">
        <v>199</v>
      </c>
      <c r="B129" s="61"/>
      <c r="C129" s="52"/>
      <c r="D129" s="53" t="s">
        <v>109</v>
      </c>
      <c r="E129" s="62"/>
      <c r="F129" s="67">
        <f t="shared" si="3"/>
        <v>0</v>
      </c>
    </row>
    <row r="130" spans="1:6" ht="15.75" thickBot="1" x14ac:dyDescent="0.3">
      <c r="A130" s="56" t="s">
        <v>200</v>
      </c>
      <c r="B130" s="61"/>
      <c r="C130" s="52"/>
      <c r="D130" s="53" t="s">
        <v>109</v>
      </c>
      <c r="E130" s="62"/>
      <c r="F130" s="68">
        <f t="shared" si="3"/>
        <v>0</v>
      </c>
    </row>
    <row r="131" spans="1:6" ht="15.75" thickBot="1" x14ac:dyDescent="0.3">
      <c r="A131" s="56" t="s">
        <v>201</v>
      </c>
      <c r="B131" s="61"/>
      <c r="C131" s="52"/>
      <c r="D131" s="53" t="s">
        <v>109</v>
      </c>
      <c r="E131" s="62"/>
      <c r="F131" s="67">
        <f t="shared" si="3"/>
        <v>0</v>
      </c>
    </row>
    <row r="132" spans="1:6" ht="15.75" thickBot="1" x14ac:dyDescent="0.3">
      <c r="A132" s="56" t="s">
        <v>202</v>
      </c>
      <c r="B132" s="70"/>
      <c r="C132" s="71"/>
      <c r="D132" s="72" t="s">
        <v>109</v>
      </c>
      <c r="E132" s="73"/>
      <c r="F132" s="68">
        <f t="shared" si="3"/>
        <v>0</v>
      </c>
    </row>
    <row r="133" spans="1:6" ht="15.75" thickBot="1" x14ac:dyDescent="0.3">
      <c r="A133" s="47" t="s">
        <v>203</v>
      </c>
      <c r="B133" s="54"/>
      <c r="C133" s="52"/>
      <c r="D133" s="53" t="s">
        <v>109</v>
      </c>
      <c r="E133" s="55"/>
      <c r="F133" s="68">
        <f t="shared" si="3"/>
        <v>0</v>
      </c>
    </row>
    <row r="134" spans="1:6" ht="15.75" thickBot="1" x14ac:dyDescent="0.3">
      <c r="A134" s="47" t="s">
        <v>204</v>
      </c>
      <c r="B134" s="46"/>
      <c r="C134" s="45"/>
      <c r="D134" s="65" t="s">
        <v>109</v>
      </c>
      <c r="E134" s="45"/>
      <c r="F134" s="68">
        <f t="shared" si="3"/>
        <v>0</v>
      </c>
    </row>
    <row r="135" spans="1:6" ht="15.75" thickBot="1" x14ac:dyDescent="0.3"/>
    <row r="136" spans="1:6" ht="15.75" thickBot="1" x14ac:dyDescent="0.3">
      <c r="A136" s="130" t="s">
        <v>205</v>
      </c>
      <c r="B136" s="131"/>
      <c r="C136" s="131"/>
      <c r="D136" s="131"/>
      <c r="E136" s="131"/>
      <c r="F136" s="131"/>
    </row>
    <row r="137" spans="1:6" ht="15.75" thickBot="1" x14ac:dyDescent="0.3">
      <c r="A137" s="44" t="s">
        <v>66</v>
      </c>
      <c r="B137" s="44" t="s">
        <v>108</v>
      </c>
      <c r="C137" s="44" t="s">
        <v>107</v>
      </c>
      <c r="D137" s="44" t="s">
        <v>67</v>
      </c>
      <c r="E137" s="44" t="s">
        <v>106</v>
      </c>
      <c r="F137" s="49" t="s">
        <v>68</v>
      </c>
    </row>
    <row r="138" spans="1:6" ht="15.75" thickBot="1" x14ac:dyDescent="0.3">
      <c r="A138" s="56" t="s">
        <v>206</v>
      </c>
      <c r="B138" s="58"/>
      <c r="C138" s="48"/>
      <c r="D138" s="59" t="s">
        <v>109</v>
      </c>
      <c r="E138" s="60"/>
      <c r="F138" s="68">
        <f>IF(D138="DASHCLUSTER classic V1",(E138*$L$8)-B138+C138,IF(D138="DASHCLUSTER premium V1",(E138*$P$8)-B138+C138,IF(D138="Bez prodejů",-B138+C138,"")))</f>
        <v>0</v>
      </c>
    </row>
    <row r="139" spans="1:6" ht="15.75" thickBot="1" x14ac:dyDescent="0.3">
      <c r="A139" s="56" t="s">
        <v>207</v>
      </c>
      <c r="B139" s="61"/>
      <c r="C139" s="52"/>
      <c r="D139" s="53" t="s">
        <v>109</v>
      </c>
      <c r="E139" s="62"/>
      <c r="F139" s="67">
        <f>IF(D139="DASHCLUSTER classic V1",(E139*$L$8)-B139+C139,IF(D139="DASHCLUSTER premium V1",(E139*$P$8)-B139+C139,IF(D139="Bez prodejů",-B139+C139,"")))</f>
        <v>0</v>
      </c>
    </row>
    <row r="140" spans="1:6" ht="15.75" thickBot="1" x14ac:dyDescent="0.3">
      <c r="A140" s="56" t="s">
        <v>208</v>
      </c>
      <c r="B140" s="61"/>
      <c r="C140" s="52"/>
      <c r="D140" s="53" t="s">
        <v>109</v>
      </c>
      <c r="E140" s="62"/>
      <c r="F140" s="68">
        <f t="shared" ref="F140:F168" si="4">IF(D140="DASHCLUSTER classic V1",(E140*$L$8)-B140+C140,IF(D140="DASHCLUSTER premium V1",(E140*$P$8)-B140+C140,IF(D140="Bez prodejů",-B140+C140,"")))</f>
        <v>0</v>
      </c>
    </row>
    <row r="141" spans="1:6" ht="15.75" thickBot="1" x14ac:dyDescent="0.3">
      <c r="A141" s="56" t="s">
        <v>209</v>
      </c>
      <c r="B141" s="61"/>
      <c r="C141" s="52"/>
      <c r="D141" s="53" t="s">
        <v>109</v>
      </c>
      <c r="E141" s="62"/>
      <c r="F141" s="67">
        <f t="shared" si="4"/>
        <v>0</v>
      </c>
    </row>
    <row r="142" spans="1:6" ht="15.75" thickBot="1" x14ac:dyDescent="0.3">
      <c r="A142" s="56" t="s">
        <v>210</v>
      </c>
      <c r="B142" s="61"/>
      <c r="C142" s="52"/>
      <c r="D142" s="53" t="s">
        <v>109</v>
      </c>
      <c r="E142" s="62"/>
      <c r="F142" s="68">
        <f t="shared" si="4"/>
        <v>0</v>
      </c>
    </row>
    <row r="143" spans="1:6" ht="15.75" thickBot="1" x14ac:dyDescent="0.3">
      <c r="A143" s="56" t="s">
        <v>211</v>
      </c>
      <c r="B143" s="61"/>
      <c r="C143" s="52"/>
      <c r="D143" s="53" t="s">
        <v>109</v>
      </c>
      <c r="E143" s="62"/>
      <c r="F143" s="67">
        <f t="shared" si="4"/>
        <v>0</v>
      </c>
    </row>
    <row r="144" spans="1:6" ht="15.75" thickBot="1" x14ac:dyDescent="0.3">
      <c r="A144" s="56" t="s">
        <v>212</v>
      </c>
      <c r="B144" s="61"/>
      <c r="C144" s="52"/>
      <c r="D144" s="53" t="s">
        <v>109</v>
      </c>
      <c r="E144" s="62"/>
      <c r="F144" s="68">
        <f t="shared" si="4"/>
        <v>0</v>
      </c>
    </row>
    <row r="145" spans="1:6" ht="15.75" thickBot="1" x14ac:dyDescent="0.3">
      <c r="A145" s="56" t="s">
        <v>213</v>
      </c>
      <c r="B145" s="61"/>
      <c r="C145" s="52"/>
      <c r="D145" s="53" t="s">
        <v>109</v>
      </c>
      <c r="E145" s="62"/>
      <c r="F145" s="67">
        <f t="shared" si="4"/>
        <v>0</v>
      </c>
    </row>
    <row r="146" spans="1:6" ht="15.75" thickBot="1" x14ac:dyDescent="0.3">
      <c r="A146" s="56" t="s">
        <v>214</v>
      </c>
      <c r="B146" s="61"/>
      <c r="C146" s="52"/>
      <c r="D146" s="53" t="s">
        <v>109</v>
      </c>
      <c r="E146" s="62"/>
      <c r="F146" s="68">
        <f t="shared" si="4"/>
        <v>0</v>
      </c>
    </row>
    <row r="147" spans="1:6" ht="15.75" thickBot="1" x14ac:dyDescent="0.3">
      <c r="A147" s="56" t="s">
        <v>215</v>
      </c>
      <c r="B147" s="61"/>
      <c r="C147" s="52"/>
      <c r="D147" s="53" t="s">
        <v>109</v>
      </c>
      <c r="E147" s="62"/>
      <c r="F147" s="67">
        <f t="shared" si="4"/>
        <v>0</v>
      </c>
    </row>
    <row r="148" spans="1:6" ht="15.75" thickBot="1" x14ac:dyDescent="0.3">
      <c r="A148" s="56" t="s">
        <v>216</v>
      </c>
      <c r="B148" s="61"/>
      <c r="C148" s="52"/>
      <c r="D148" s="53" t="s">
        <v>109</v>
      </c>
      <c r="E148" s="62"/>
      <c r="F148" s="68">
        <f t="shared" si="4"/>
        <v>0</v>
      </c>
    </row>
    <row r="149" spans="1:6" ht="15.75" thickBot="1" x14ac:dyDescent="0.3">
      <c r="A149" s="56" t="s">
        <v>217</v>
      </c>
      <c r="B149" s="61"/>
      <c r="C149" s="52"/>
      <c r="D149" s="53" t="s">
        <v>109</v>
      </c>
      <c r="E149" s="62"/>
      <c r="F149" s="67">
        <f t="shared" si="4"/>
        <v>0</v>
      </c>
    </row>
    <row r="150" spans="1:6" ht="15.75" thickBot="1" x14ac:dyDescent="0.3">
      <c r="A150" s="56" t="s">
        <v>218</v>
      </c>
      <c r="B150" s="61"/>
      <c r="C150" s="52"/>
      <c r="D150" s="53" t="s">
        <v>109</v>
      </c>
      <c r="E150" s="62"/>
      <c r="F150" s="68">
        <f t="shared" si="4"/>
        <v>0</v>
      </c>
    </row>
    <row r="151" spans="1:6" ht="15.75" thickBot="1" x14ac:dyDescent="0.3">
      <c r="A151" s="56" t="s">
        <v>219</v>
      </c>
      <c r="B151" s="61"/>
      <c r="C151" s="52"/>
      <c r="D151" s="53" t="s">
        <v>109</v>
      </c>
      <c r="E151" s="62"/>
      <c r="F151" s="67">
        <f t="shared" si="4"/>
        <v>0</v>
      </c>
    </row>
    <row r="152" spans="1:6" ht="15.75" thickBot="1" x14ac:dyDescent="0.3">
      <c r="A152" s="56" t="s">
        <v>220</v>
      </c>
      <c r="B152" s="61"/>
      <c r="C152" s="52"/>
      <c r="D152" s="53" t="s">
        <v>109</v>
      </c>
      <c r="E152" s="62"/>
      <c r="F152" s="68">
        <f t="shared" si="4"/>
        <v>0</v>
      </c>
    </row>
    <row r="153" spans="1:6" ht="15.75" thickBot="1" x14ac:dyDescent="0.3">
      <c r="A153" s="56" t="s">
        <v>221</v>
      </c>
      <c r="B153" s="61"/>
      <c r="C153" s="52"/>
      <c r="D153" s="53" t="s">
        <v>109</v>
      </c>
      <c r="E153" s="62"/>
      <c r="F153" s="67">
        <f t="shared" si="4"/>
        <v>0</v>
      </c>
    </row>
    <row r="154" spans="1:6" ht="15.75" thickBot="1" x14ac:dyDescent="0.3">
      <c r="A154" s="56" t="s">
        <v>222</v>
      </c>
      <c r="B154" s="61"/>
      <c r="C154" s="52"/>
      <c r="D154" s="53" t="s">
        <v>109</v>
      </c>
      <c r="E154" s="62"/>
      <c r="F154" s="68">
        <f t="shared" si="4"/>
        <v>0</v>
      </c>
    </row>
    <row r="155" spans="1:6" ht="15.75" thickBot="1" x14ac:dyDescent="0.3">
      <c r="A155" s="56" t="s">
        <v>223</v>
      </c>
      <c r="B155" s="61"/>
      <c r="C155" s="52"/>
      <c r="D155" s="53" t="s">
        <v>109</v>
      </c>
      <c r="E155" s="62"/>
      <c r="F155" s="67">
        <f t="shared" si="4"/>
        <v>0</v>
      </c>
    </row>
    <row r="156" spans="1:6" ht="15.75" thickBot="1" x14ac:dyDescent="0.3">
      <c r="A156" s="56" t="s">
        <v>224</v>
      </c>
      <c r="B156" s="61"/>
      <c r="C156" s="52"/>
      <c r="D156" s="53" t="s">
        <v>109</v>
      </c>
      <c r="E156" s="62"/>
      <c r="F156" s="68">
        <f t="shared" si="4"/>
        <v>0</v>
      </c>
    </row>
    <row r="157" spans="1:6" ht="15.75" thickBot="1" x14ac:dyDescent="0.3">
      <c r="A157" s="56" t="s">
        <v>225</v>
      </c>
      <c r="B157" s="61"/>
      <c r="C157" s="52"/>
      <c r="D157" s="53" t="s">
        <v>109</v>
      </c>
      <c r="E157" s="62"/>
      <c r="F157" s="67">
        <f t="shared" si="4"/>
        <v>0</v>
      </c>
    </row>
    <row r="158" spans="1:6" ht="15.75" thickBot="1" x14ac:dyDescent="0.3">
      <c r="A158" s="56" t="s">
        <v>226</v>
      </c>
      <c r="B158" s="61"/>
      <c r="C158" s="52"/>
      <c r="D158" s="53" t="s">
        <v>109</v>
      </c>
      <c r="E158" s="62"/>
      <c r="F158" s="68">
        <f t="shared" si="4"/>
        <v>0</v>
      </c>
    </row>
    <row r="159" spans="1:6" ht="15.75" thickBot="1" x14ac:dyDescent="0.3">
      <c r="A159" s="56" t="s">
        <v>227</v>
      </c>
      <c r="B159" s="61"/>
      <c r="C159" s="52"/>
      <c r="D159" s="53" t="s">
        <v>109</v>
      </c>
      <c r="E159" s="62"/>
      <c r="F159" s="67">
        <f t="shared" si="4"/>
        <v>0</v>
      </c>
    </row>
    <row r="160" spans="1:6" ht="15.75" thickBot="1" x14ac:dyDescent="0.3">
      <c r="A160" s="56" t="s">
        <v>228</v>
      </c>
      <c r="B160" s="61"/>
      <c r="C160" s="52"/>
      <c r="D160" s="53" t="s">
        <v>109</v>
      </c>
      <c r="E160" s="62"/>
      <c r="F160" s="68">
        <f t="shared" si="4"/>
        <v>0</v>
      </c>
    </row>
    <row r="161" spans="1:6" ht="15.75" thickBot="1" x14ac:dyDescent="0.3">
      <c r="A161" s="56" t="s">
        <v>229</v>
      </c>
      <c r="B161" s="61"/>
      <c r="C161" s="52"/>
      <c r="D161" s="53" t="s">
        <v>109</v>
      </c>
      <c r="E161" s="62"/>
      <c r="F161" s="67">
        <f t="shared" si="4"/>
        <v>0</v>
      </c>
    </row>
    <row r="162" spans="1:6" ht="15.75" thickBot="1" x14ac:dyDescent="0.3">
      <c r="A162" s="56" t="s">
        <v>230</v>
      </c>
      <c r="B162" s="61"/>
      <c r="C162" s="52"/>
      <c r="D162" s="53" t="s">
        <v>109</v>
      </c>
      <c r="E162" s="62"/>
      <c r="F162" s="68">
        <f t="shared" si="4"/>
        <v>0</v>
      </c>
    </row>
    <row r="163" spans="1:6" ht="15.75" thickBot="1" x14ac:dyDescent="0.3">
      <c r="A163" s="56" t="s">
        <v>231</v>
      </c>
      <c r="B163" s="61"/>
      <c r="C163" s="52"/>
      <c r="D163" s="53" t="s">
        <v>109</v>
      </c>
      <c r="E163" s="62"/>
      <c r="F163" s="67">
        <f t="shared" si="4"/>
        <v>0</v>
      </c>
    </row>
    <row r="164" spans="1:6" ht="15.75" thickBot="1" x14ac:dyDescent="0.3">
      <c r="A164" s="56" t="s">
        <v>232</v>
      </c>
      <c r="B164" s="61"/>
      <c r="C164" s="52"/>
      <c r="D164" s="53" t="s">
        <v>109</v>
      </c>
      <c r="E164" s="62"/>
      <c r="F164" s="68">
        <f t="shared" si="4"/>
        <v>0</v>
      </c>
    </row>
    <row r="165" spans="1:6" ht="15.75" thickBot="1" x14ac:dyDescent="0.3">
      <c r="A165" s="56" t="s">
        <v>233</v>
      </c>
      <c r="B165" s="61"/>
      <c r="C165" s="52"/>
      <c r="D165" s="53" t="s">
        <v>109</v>
      </c>
      <c r="E165" s="62"/>
      <c r="F165" s="67">
        <f t="shared" si="4"/>
        <v>0</v>
      </c>
    </row>
    <row r="166" spans="1:6" ht="15.75" thickBot="1" x14ac:dyDescent="0.3">
      <c r="A166" s="56" t="s">
        <v>234</v>
      </c>
      <c r="B166" s="70"/>
      <c r="C166" s="71"/>
      <c r="D166" s="72" t="s">
        <v>109</v>
      </c>
      <c r="E166" s="73"/>
      <c r="F166" s="68">
        <f t="shared" si="4"/>
        <v>0</v>
      </c>
    </row>
    <row r="167" spans="1:6" ht="15.75" thickBot="1" x14ac:dyDescent="0.3">
      <c r="A167" s="47" t="s">
        <v>235</v>
      </c>
      <c r="B167" s="54"/>
      <c r="C167" s="52"/>
      <c r="D167" s="53" t="s">
        <v>109</v>
      </c>
      <c r="E167" s="55"/>
      <c r="F167" s="68">
        <f t="shared" si="4"/>
        <v>0</v>
      </c>
    </row>
    <row r="168" spans="1:6" ht="15.75" thickBot="1" x14ac:dyDescent="0.3">
      <c r="A168" s="47" t="s">
        <v>236</v>
      </c>
      <c r="B168" s="46"/>
      <c r="C168" s="45"/>
      <c r="D168" s="65" t="s">
        <v>109</v>
      </c>
      <c r="E168" s="45"/>
      <c r="F168" s="68">
        <f t="shared" si="4"/>
        <v>0</v>
      </c>
    </row>
    <row r="169" spans="1:6" ht="15.75" thickBot="1" x14ac:dyDescent="0.3"/>
    <row r="170" spans="1:6" ht="15.75" thickBot="1" x14ac:dyDescent="0.3">
      <c r="A170" s="130" t="s">
        <v>237</v>
      </c>
      <c r="B170" s="131"/>
      <c r="C170" s="131"/>
      <c r="D170" s="131"/>
      <c r="E170" s="131"/>
      <c r="F170" s="131"/>
    </row>
    <row r="171" spans="1:6" ht="15.75" thickBot="1" x14ac:dyDescent="0.3">
      <c r="A171" s="44" t="s">
        <v>66</v>
      </c>
      <c r="B171" s="44" t="s">
        <v>108</v>
      </c>
      <c r="C171" s="44" t="s">
        <v>107</v>
      </c>
      <c r="D171" s="44" t="s">
        <v>67</v>
      </c>
      <c r="E171" s="44" t="s">
        <v>106</v>
      </c>
      <c r="F171" s="49" t="s">
        <v>68</v>
      </c>
    </row>
    <row r="172" spans="1:6" ht="15.75" thickBot="1" x14ac:dyDescent="0.3">
      <c r="A172" s="74">
        <v>1</v>
      </c>
      <c r="B172" s="58"/>
      <c r="C172" s="48"/>
      <c r="D172" s="59" t="s">
        <v>109</v>
      </c>
      <c r="E172" s="60"/>
      <c r="F172" s="68">
        <f>IF(D172="DASHCLUSTER classic V1",(E172*L176)-B172+C172,IF(D172="DASHCLUSTER premium V1",(E172*P176)-B172+C172,IF(D172="Bez prodejů",-B172+C172,"")))</f>
        <v>0</v>
      </c>
    </row>
    <row r="173" spans="1:6" ht="15.75" thickBot="1" x14ac:dyDescent="0.3">
      <c r="A173" s="74">
        <v>2</v>
      </c>
      <c r="B173" s="61"/>
      <c r="C173" s="52"/>
      <c r="D173" s="53" t="s">
        <v>109</v>
      </c>
      <c r="E173" s="62"/>
      <c r="F173" s="67">
        <f>IF(D173="DASHCLUSTER classic V1",(E173*L176)-B173+C173,IF(D173="DASHCLUSTER premium V1",(E173*P176)-B173+C173,IF(D173="Bez prodejů",-B173+C173,"")))</f>
        <v>0</v>
      </c>
    </row>
    <row r="174" spans="1:6" ht="15.75" thickBot="1" x14ac:dyDescent="0.3">
      <c r="A174" s="74">
        <v>3</v>
      </c>
      <c r="B174" s="61"/>
      <c r="C174" s="52"/>
      <c r="D174" s="53" t="s">
        <v>109</v>
      </c>
      <c r="E174" s="62"/>
      <c r="F174" s="68">
        <f>IF(D174="DASHCLUSTER classic V1",(E174*L176)-B174+C174,IF(D174="DASHCLUSTER premium V1",(E174*P176)-B174+C174,IF(D174="Bez prodejů",-B174+C174,"")))</f>
        <v>0</v>
      </c>
    </row>
    <row r="175" spans="1:6" ht="15.75" thickBot="1" x14ac:dyDescent="0.3">
      <c r="A175" s="74">
        <v>4</v>
      </c>
      <c r="B175" s="61"/>
      <c r="C175" s="52"/>
      <c r="D175" s="53" t="s">
        <v>109</v>
      </c>
      <c r="E175" s="62"/>
      <c r="F175" s="68">
        <f>IF(D175="DASHCLUSTER classic V1",(E175*L176)-B175+C175,IF(D175="DASHCLUSTER premium V1",(E175*P176)-B175+C175,IF(D175="Bez prodejů",-B175+C175,"")))</f>
        <v>0</v>
      </c>
    </row>
    <row r="176" spans="1:6" ht="15.75" thickBot="1" x14ac:dyDescent="0.3">
      <c r="A176" s="74">
        <v>5</v>
      </c>
      <c r="B176" s="61"/>
      <c r="C176" s="52"/>
      <c r="D176" s="53" t="s">
        <v>109</v>
      </c>
      <c r="E176" s="62"/>
      <c r="F176" s="67">
        <f>IF(D176="DASHCLUSTER classic V1",(E176*L176)-B176+C176,IF(D176="DASHCLUSTER premium V1",(E176*P176)-B176+C176,IF(D176="Bez prodejů",-B176+C176,"")))</f>
        <v>0</v>
      </c>
    </row>
    <row r="177" spans="1:6" ht="15.75" thickBot="1" x14ac:dyDescent="0.3">
      <c r="A177" s="74">
        <v>6</v>
      </c>
      <c r="B177" s="61"/>
      <c r="C177" s="52"/>
      <c r="D177" s="53" t="s">
        <v>109</v>
      </c>
      <c r="E177" s="62"/>
      <c r="F177" s="68">
        <f>IF(D177="DASHCLUSTER classic V1",(E177*L176)-B177+C177,IF(D177="DASHCLUSTER premium V1",(E177*P176)-B177+C177,IF(D177="Bez prodejů",-B177+C177,"")))</f>
        <v>0</v>
      </c>
    </row>
    <row r="178" spans="1:6" ht="15.75" thickBot="1" x14ac:dyDescent="0.3">
      <c r="A178" s="74">
        <v>7</v>
      </c>
      <c r="B178" s="61"/>
      <c r="C178" s="52"/>
      <c r="D178" s="53" t="s">
        <v>109</v>
      </c>
      <c r="E178" s="62"/>
      <c r="F178" s="68">
        <f>IF(D178="DASHCLUSTER classic V1",(E178*L176)-B178+C178,IF(D178="DASHCLUSTER premium V1",(E178*P176)-B178+C178,IF(D178="Bez prodejů",-B178+C178,"")))</f>
        <v>0</v>
      </c>
    </row>
    <row r="179" spans="1:6" ht="15.75" thickBot="1" x14ac:dyDescent="0.3">
      <c r="A179" s="74">
        <v>8</v>
      </c>
      <c r="B179" s="61"/>
      <c r="C179" s="52"/>
      <c r="D179" s="53" t="s">
        <v>109</v>
      </c>
      <c r="E179" s="62"/>
      <c r="F179" s="68">
        <f>IF(D179="DASHCLUSTER classic V1",(E179*L176)-B179+C179,IF(D179="DASHCLUSTER premium V1",(E179*P176)-B179+C179,IF(D179="Bez prodejů",-B179+C179,"")))</f>
        <v>0</v>
      </c>
    </row>
    <row r="180" spans="1:6" ht="15.75" thickBot="1" x14ac:dyDescent="0.3">
      <c r="A180" s="74">
        <v>9</v>
      </c>
      <c r="B180" s="61"/>
      <c r="C180" s="52"/>
      <c r="D180" s="53" t="s">
        <v>109</v>
      </c>
      <c r="E180" s="62"/>
      <c r="F180" s="67">
        <f>IF(D180="DASHCLUSTER classic V1",(E180*L176)-B180+C180,IF(D180="DASHCLUSTER premium V1",(E180*P176)-B180+C180,IF(D180="Bez prodejů",-B180+C180,"")))</f>
        <v>0</v>
      </c>
    </row>
    <row r="181" spans="1:6" ht="15.75" thickBot="1" x14ac:dyDescent="0.3">
      <c r="A181" s="74">
        <v>10</v>
      </c>
      <c r="B181" s="61"/>
      <c r="C181" s="52"/>
      <c r="D181" s="53" t="s">
        <v>109</v>
      </c>
      <c r="E181" s="62"/>
      <c r="F181" s="68">
        <f>IF(D181="DASHCLUSTER classic V1",(E181*L176)-B181+C181,IF(D181="DASHCLUSTER premium V1",(E181*P176)-B181+C181,IF(D181="Bez prodejů",-B181+C181,"")))</f>
        <v>0</v>
      </c>
    </row>
    <row r="182" spans="1:6" ht="15.75" thickBot="1" x14ac:dyDescent="0.3">
      <c r="A182" s="74">
        <v>11</v>
      </c>
      <c r="B182" s="61"/>
      <c r="C182" s="52"/>
      <c r="D182" s="53" t="s">
        <v>109</v>
      </c>
      <c r="E182" s="62"/>
      <c r="F182" s="68">
        <f>IF(D182="DASHCLUSTER classic V1",(E182*L176)-B182+C182,IF(D182="DASHCLUSTER premium V1",(E182*P176)-B182+C182,IF(D182="Bez prodejů",-B182+C182,"")))</f>
        <v>0</v>
      </c>
    </row>
    <row r="183" spans="1:6" ht="15.75" thickBot="1" x14ac:dyDescent="0.3">
      <c r="A183" s="74">
        <v>12</v>
      </c>
      <c r="B183" s="61"/>
      <c r="C183" s="52"/>
      <c r="D183" s="53" t="s">
        <v>109</v>
      </c>
      <c r="E183" s="62"/>
      <c r="F183" s="67">
        <f>IF(D183="DASHCLUSTER classic V1",(E183*L176)-B183+C183,IF(D183="DASHCLUSTER premium V1",(E183*P176)-B183+C183,IF(D183="Bez prodejů",-B183+C183,"")))</f>
        <v>0</v>
      </c>
    </row>
    <row r="184" spans="1:6" ht="15.75" thickBot="1" x14ac:dyDescent="0.3">
      <c r="A184" s="74">
        <v>13</v>
      </c>
      <c r="B184" s="61"/>
      <c r="C184" s="52"/>
      <c r="D184" s="53" t="s">
        <v>109</v>
      </c>
      <c r="E184" s="62"/>
      <c r="F184" s="68">
        <f>IF(D184="DASHCLUSTER classic V1",(E184*L176)-B184+C184,IF(D184="DASHCLUSTER premium V1",(E184*P176)-B184+C184,IF(D184="Bez prodejů",-B184+C184,"")))</f>
        <v>0</v>
      </c>
    </row>
    <row r="185" spans="1:6" ht="15.75" thickBot="1" x14ac:dyDescent="0.3">
      <c r="A185" s="74">
        <v>14</v>
      </c>
      <c r="B185" s="61"/>
      <c r="C185" s="52"/>
      <c r="D185" s="53" t="s">
        <v>109</v>
      </c>
      <c r="E185" s="62"/>
      <c r="F185" s="68">
        <f>IF(D185="DASHCLUSTER classic V1",(E185*L176)-B185+C185,IF(D185="DASHCLUSTER premium V1",(E185*P176)-B185+C185,IF(D185="Bez prodejů",-B185+C185,"")))</f>
        <v>0</v>
      </c>
    </row>
    <row r="186" spans="1:6" ht="15.75" thickBot="1" x14ac:dyDescent="0.3">
      <c r="A186" s="74">
        <v>15</v>
      </c>
      <c r="B186" s="61"/>
      <c r="C186" s="52"/>
      <c r="D186" s="53" t="s">
        <v>109</v>
      </c>
      <c r="E186" s="62"/>
      <c r="F186" s="68">
        <f>IF(D186="DASHCLUSTER classic V1",(E186*L176)-B186+C186,IF(D186="DASHCLUSTER premium V1",(E186*P176)-B186+C186,IF(D186="Bez prodejů",-B186+C186,"")))</f>
        <v>0</v>
      </c>
    </row>
    <row r="187" spans="1:6" ht="15.75" thickBot="1" x14ac:dyDescent="0.3">
      <c r="A187" s="74">
        <v>16</v>
      </c>
      <c r="B187" s="61"/>
      <c r="C187" s="52"/>
      <c r="D187" s="53" t="s">
        <v>109</v>
      </c>
      <c r="E187" s="62"/>
      <c r="F187" s="67">
        <f>IF(D187="DASHCLUSTER classic V1",(E187*L176)-B187+C187,IF(D187="DASHCLUSTER premium V1",(E187*P176)-B187+C187,IF(D187="Bez prodejů",-B187+C187,"")))</f>
        <v>0</v>
      </c>
    </row>
    <row r="188" spans="1:6" ht="15.75" thickBot="1" x14ac:dyDescent="0.3">
      <c r="A188" s="74">
        <v>17</v>
      </c>
      <c r="B188" s="61"/>
      <c r="C188" s="52"/>
      <c r="D188" s="53" t="s">
        <v>109</v>
      </c>
      <c r="E188" s="62"/>
      <c r="F188" s="68">
        <f>IF(D188="DASHCLUSTER classic V1",(E188*L176)-B188+C188,IF(D188="DASHCLUSTER premium V1",(E188*P176)-B188+C188,IF(D188="Bez prodejů",-B188+C188,"")))</f>
        <v>0</v>
      </c>
    </row>
    <row r="189" spans="1:6" ht="15.75" thickBot="1" x14ac:dyDescent="0.3">
      <c r="A189" s="74">
        <v>18</v>
      </c>
      <c r="B189" s="61"/>
      <c r="C189" s="52"/>
      <c r="D189" s="53" t="s">
        <v>109</v>
      </c>
      <c r="E189" s="62"/>
      <c r="F189" s="67">
        <f>IF(D189="DASHCLUSTER classic V1",(E189*L176)-B189+C189,IF(D189="DASHCLUSTER premium V1",(E189*P176)-B189+C189,IF(D189="Bez prodejů",-B189+C189,"")))</f>
        <v>0</v>
      </c>
    </row>
    <row r="190" spans="1:6" ht="15.75" thickBot="1" x14ac:dyDescent="0.3">
      <c r="A190" s="74">
        <v>19</v>
      </c>
      <c r="B190" s="61"/>
      <c r="C190" s="52"/>
      <c r="D190" s="53" t="s">
        <v>109</v>
      </c>
      <c r="E190" s="62"/>
      <c r="F190" s="68">
        <f>IF(D190="DASHCLUSTER classic V1",(E190*L176)-B190+C190,IF(D190="DASHCLUSTER premium V1",(E190*P176)-B190+C190,IF(D190="Bez prodejů",-B190+C190,"")))</f>
        <v>0</v>
      </c>
    </row>
    <row r="191" spans="1:6" ht="15.75" thickBot="1" x14ac:dyDescent="0.3">
      <c r="A191" s="74">
        <v>20</v>
      </c>
      <c r="B191" s="61"/>
      <c r="C191" s="52"/>
      <c r="D191" s="53" t="s">
        <v>109</v>
      </c>
      <c r="E191" s="62"/>
      <c r="F191" s="68">
        <f>IF(D191="DASHCLUSTER classic V1",(E191*L176)-B191+C191,IF(D191="DASHCLUSTER premium V1",(E191*P176)-B191+C191,IF(D191="Bez prodejů",-B191+C191,"")))</f>
        <v>0</v>
      </c>
    </row>
    <row r="192" spans="1:6" ht="15.75" thickBot="1" x14ac:dyDescent="0.3">
      <c r="A192" s="74">
        <v>21</v>
      </c>
      <c r="B192" s="61"/>
      <c r="C192" s="52"/>
      <c r="D192" s="53" t="s">
        <v>109</v>
      </c>
      <c r="E192" s="62"/>
      <c r="F192" s="67">
        <f>IF(D192="DASHCLUSTER classic V1",(E192*L176)-B192+C192,IF(D192="DASHCLUSTER premium V1",(E192*P176)-B192+C192,IF(D192="Bez prodejů",-B192+C192,"")))</f>
        <v>0</v>
      </c>
    </row>
    <row r="193" spans="1:6" ht="15.75" thickBot="1" x14ac:dyDescent="0.3">
      <c r="A193" s="74">
        <v>22</v>
      </c>
      <c r="B193" s="61"/>
      <c r="C193" s="52"/>
      <c r="D193" s="53" t="s">
        <v>109</v>
      </c>
      <c r="E193" s="62"/>
      <c r="F193" s="68">
        <f>IF(D193="DASHCLUSTER classic V1",(E193*L176)-B193+C193,IF(D193="DASHCLUSTER premium V1",(E193*P176)-B193+C193,IF(D193="Bez prodejů",-B193+C193,"")))</f>
        <v>0</v>
      </c>
    </row>
    <row r="194" spans="1:6" ht="15.75" thickBot="1" x14ac:dyDescent="0.3">
      <c r="A194" s="74">
        <v>23</v>
      </c>
      <c r="B194" s="61"/>
      <c r="C194" s="52"/>
      <c r="D194" s="53" t="s">
        <v>109</v>
      </c>
      <c r="E194" s="62"/>
      <c r="F194" s="68">
        <f>IF(D194="DASHCLUSTER classic V1",(E194*L176)-B194+C194,IF(D194="DASHCLUSTER premium V1",(E194*P176)-B194+C194,IF(D194="Bez prodejů",-B194+C194,"")))</f>
        <v>0</v>
      </c>
    </row>
    <row r="195" spans="1:6" ht="15.75" thickBot="1" x14ac:dyDescent="0.3">
      <c r="A195" s="74">
        <v>24</v>
      </c>
      <c r="B195" s="61"/>
      <c r="C195" s="52"/>
      <c r="D195" s="53" t="s">
        <v>109</v>
      </c>
      <c r="E195" s="62"/>
      <c r="F195" s="68">
        <f>IF(D195="DASHCLUSTER classic V1",(E195*L176)-B195+C195,IF(D195="DASHCLUSTER premium V1",(E195*P176)-B195+C195,IF(D195="Bez prodejů",-B195+C195,"")))</f>
        <v>0</v>
      </c>
    </row>
    <row r="196" spans="1:6" ht="15.75" thickBot="1" x14ac:dyDescent="0.3">
      <c r="A196" s="74">
        <v>25</v>
      </c>
      <c r="B196" s="61"/>
      <c r="C196" s="52"/>
      <c r="D196" s="53" t="s">
        <v>109</v>
      </c>
      <c r="E196" s="62"/>
      <c r="F196" s="67">
        <f>IF(D196="DASHCLUSTER classic V1",(E196*L176)-B196+C196,IF(D196="DASHCLUSTER premium V1",(E196*P176)-B196+C196,IF(D196="Bez prodejů",-B196+C196,"")))</f>
        <v>0</v>
      </c>
    </row>
    <row r="197" spans="1:6" ht="15.75" thickBot="1" x14ac:dyDescent="0.3">
      <c r="A197" s="74">
        <v>26</v>
      </c>
      <c r="B197" s="61"/>
      <c r="C197" s="52"/>
      <c r="D197" s="53" t="s">
        <v>109</v>
      </c>
      <c r="E197" s="62"/>
      <c r="F197" s="68">
        <f>IF(D197="DASHCLUSTER classic V1",(E197*L176)-B197+C197,IF(D197="DASHCLUSTER premium V1",(E197*P176)-B197+C197,IF(D197="Bez prodejů",-B197+C197,"")))</f>
        <v>0</v>
      </c>
    </row>
    <row r="198" spans="1:6" ht="15.75" thickBot="1" x14ac:dyDescent="0.3">
      <c r="A198" s="74">
        <v>27</v>
      </c>
      <c r="B198" s="61"/>
      <c r="C198" s="52"/>
      <c r="D198" s="53" t="s">
        <v>109</v>
      </c>
      <c r="E198" s="62"/>
      <c r="F198" s="68">
        <f>IF(D198="DASHCLUSTER classic V1",(E198*L176)-B198+C198,IF(D198="DASHCLUSTER premium V1",(E198*P176)-B198+C198,IF(D198="Bez prodejů",-B198+C198,"")))</f>
        <v>0</v>
      </c>
    </row>
    <row r="199" spans="1:6" ht="15.75" thickBot="1" x14ac:dyDescent="0.3">
      <c r="A199" s="74">
        <v>28</v>
      </c>
      <c r="B199" s="61"/>
      <c r="C199" s="52"/>
      <c r="D199" s="53" t="s">
        <v>109</v>
      </c>
      <c r="E199" s="62"/>
      <c r="F199" s="67">
        <f>IF(D199="DASHCLUSTER classic V1",(E199*L176)-B199+C199,IF(D199="DASHCLUSTER premium V1",(E199*P176)-B199+C199,IF(D199="Bez prodejů",-B199+C199,"")))</f>
        <v>0</v>
      </c>
    </row>
    <row r="200" spans="1:6" ht="15.75" thickBot="1" x14ac:dyDescent="0.3">
      <c r="A200" s="74">
        <v>29</v>
      </c>
      <c r="B200" s="61"/>
      <c r="C200" s="52"/>
      <c r="D200" s="53" t="s">
        <v>109</v>
      </c>
      <c r="E200" s="62"/>
      <c r="F200" s="68">
        <f>IF(D200="DASHCLUSTER classic V1",(E200*L176)-B200+C200,IF(D200="DASHCLUSTER premium V1",(E200*P176)-B200+C200,IF(D200="Bez prodejů",-B200+C200,"")))</f>
        <v>0</v>
      </c>
    </row>
    <row r="201" spans="1:6" ht="15.75" thickBot="1" x14ac:dyDescent="0.3">
      <c r="A201" s="74">
        <v>30</v>
      </c>
      <c r="B201" s="63"/>
      <c r="C201" s="64"/>
      <c r="D201" s="65" t="s">
        <v>109</v>
      </c>
      <c r="E201" s="66"/>
      <c r="F201" s="68">
        <f>IF(D201="DASHCLUSTER classic V1",(E201*L176)-B201+C201,IF(D201="DASHCLUSTER premium V1",(E201*P176)-B201+C201,IF(D201="Bez prodejů",-B201+C201,"")))</f>
        <v>0</v>
      </c>
    </row>
    <row r="202" spans="1:6" ht="15.75" thickBot="1" x14ac:dyDescent="0.3"/>
    <row r="203" spans="1:6" ht="15.75" thickBot="1" x14ac:dyDescent="0.3">
      <c r="A203" s="130" t="s">
        <v>238</v>
      </c>
      <c r="B203" s="131"/>
      <c r="C203" s="131"/>
      <c r="D203" s="131"/>
      <c r="E203" s="131"/>
      <c r="F203" s="131"/>
    </row>
    <row r="204" spans="1:6" ht="15.75" thickBot="1" x14ac:dyDescent="0.3">
      <c r="A204" s="44" t="s">
        <v>66</v>
      </c>
      <c r="B204" s="44" t="s">
        <v>108</v>
      </c>
      <c r="C204" s="44" t="s">
        <v>107</v>
      </c>
      <c r="D204" s="44" t="s">
        <v>67</v>
      </c>
      <c r="E204" s="44" t="s">
        <v>106</v>
      </c>
      <c r="F204" s="49" t="s">
        <v>68</v>
      </c>
    </row>
    <row r="205" spans="1:6" ht="15.75" thickBot="1" x14ac:dyDescent="0.3">
      <c r="A205" s="75">
        <v>1</v>
      </c>
      <c r="B205" s="58"/>
      <c r="C205" s="48"/>
      <c r="D205" s="59" t="s">
        <v>109</v>
      </c>
      <c r="E205" s="60"/>
      <c r="F205" s="68">
        <f>IF(D205="DASHCLUSTER classic V1",(E205*$L$8)-B205+C205,IF(D205="DASHCLUSTER premium V1",(E205*$P$8)-B205+C205,IF(D205="Bez prodejů",-B205+C205,"")))</f>
        <v>0</v>
      </c>
    </row>
    <row r="206" spans="1:6" ht="15.75" thickBot="1" x14ac:dyDescent="0.3">
      <c r="A206" s="75">
        <v>2</v>
      </c>
      <c r="B206" s="61"/>
      <c r="C206" s="52"/>
      <c r="D206" s="53" t="s">
        <v>109</v>
      </c>
      <c r="E206" s="62"/>
      <c r="F206" s="67">
        <f>IF(D206="DASHCLUSTER classic V1",(E206*$L$8)-B206+C206,IF(D206="DASHCLUSTER premium V1",(E206*$P$8)-B206+C206,IF(D206="Bez prodejů",-B206+C206,"")))</f>
        <v>0</v>
      </c>
    </row>
    <row r="207" spans="1:6" ht="15.75" thickBot="1" x14ac:dyDescent="0.3">
      <c r="A207" s="75">
        <v>3</v>
      </c>
      <c r="B207" s="61"/>
      <c r="C207" s="52"/>
      <c r="D207" s="53" t="s">
        <v>109</v>
      </c>
      <c r="E207" s="62"/>
      <c r="F207" s="68">
        <f t="shared" ref="F207:F235" si="5">IF(D207="DASHCLUSTER classic V1",(E207*$L$8)-B207+C207,IF(D207="DASHCLUSTER premium V1",(E207*$P$8)-B207+C207,IF(D207="Bez prodejů",-B207+C207,"")))</f>
        <v>0</v>
      </c>
    </row>
    <row r="208" spans="1:6" ht="15.75" thickBot="1" x14ac:dyDescent="0.3">
      <c r="A208" s="75">
        <v>4</v>
      </c>
      <c r="B208" s="61"/>
      <c r="C208" s="52"/>
      <c r="D208" s="53" t="s">
        <v>109</v>
      </c>
      <c r="E208" s="62"/>
      <c r="F208" s="67">
        <f t="shared" si="5"/>
        <v>0</v>
      </c>
    </row>
    <row r="209" spans="1:6" ht="15.75" thickBot="1" x14ac:dyDescent="0.3">
      <c r="A209" s="75">
        <v>5</v>
      </c>
      <c r="B209" s="61"/>
      <c r="C209" s="52"/>
      <c r="D209" s="53" t="s">
        <v>109</v>
      </c>
      <c r="E209" s="62"/>
      <c r="F209" s="68">
        <f t="shared" si="5"/>
        <v>0</v>
      </c>
    </row>
    <row r="210" spans="1:6" ht="15.75" thickBot="1" x14ac:dyDescent="0.3">
      <c r="A210" s="75">
        <v>6</v>
      </c>
      <c r="B210" s="61"/>
      <c r="C210" s="52"/>
      <c r="D210" s="53" t="s">
        <v>109</v>
      </c>
      <c r="E210" s="62"/>
      <c r="F210" s="67">
        <f t="shared" si="5"/>
        <v>0</v>
      </c>
    </row>
    <row r="211" spans="1:6" ht="15.75" thickBot="1" x14ac:dyDescent="0.3">
      <c r="A211" s="75">
        <v>7</v>
      </c>
      <c r="B211" s="61"/>
      <c r="C211" s="52"/>
      <c r="D211" s="53" t="s">
        <v>109</v>
      </c>
      <c r="E211" s="62"/>
      <c r="F211" s="68">
        <f t="shared" si="5"/>
        <v>0</v>
      </c>
    </row>
    <row r="212" spans="1:6" ht="15.75" thickBot="1" x14ac:dyDescent="0.3">
      <c r="A212" s="75">
        <v>8</v>
      </c>
      <c r="B212" s="61"/>
      <c r="C212" s="52"/>
      <c r="D212" s="53" t="s">
        <v>109</v>
      </c>
      <c r="E212" s="62"/>
      <c r="F212" s="67">
        <f t="shared" si="5"/>
        <v>0</v>
      </c>
    </row>
    <row r="213" spans="1:6" ht="15.75" thickBot="1" x14ac:dyDescent="0.3">
      <c r="A213" s="75">
        <v>9</v>
      </c>
      <c r="B213" s="61"/>
      <c r="C213" s="52"/>
      <c r="D213" s="53" t="s">
        <v>109</v>
      </c>
      <c r="E213" s="62"/>
      <c r="F213" s="68">
        <f t="shared" si="5"/>
        <v>0</v>
      </c>
    </row>
    <row r="214" spans="1:6" ht="15.75" thickBot="1" x14ac:dyDescent="0.3">
      <c r="A214" s="75">
        <v>10</v>
      </c>
      <c r="B214" s="61"/>
      <c r="C214" s="52"/>
      <c r="D214" s="53" t="s">
        <v>109</v>
      </c>
      <c r="E214" s="62"/>
      <c r="F214" s="67">
        <f t="shared" si="5"/>
        <v>0</v>
      </c>
    </row>
    <row r="215" spans="1:6" ht="15.75" thickBot="1" x14ac:dyDescent="0.3">
      <c r="A215" s="75">
        <v>11</v>
      </c>
      <c r="B215" s="61"/>
      <c r="C215" s="52"/>
      <c r="D215" s="53" t="s">
        <v>109</v>
      </c>
      <c r="E215" s="62"/>
      <c r="F215" s="68">
        <f t="shared" si="5"/>
        <v>0</v>
      </c>
    </row>
    <row r="216" spans="1:6" ht="15.75" thickBot="1" x14ac:dyDescent="0.3">
      <c r="A216" s="75">
        <v>12</v>
      </c>
      <c r="B216" s="61"/>
      <c r="C216" s="52"/>
      <c r="D216" s="53" t="s">
        <v>109</v>
      </c>
      <c r="E216" s="62"/>
      <c r="F216" s="67">
        <f t="shared" si="5"/>
        <v>0</v>
      </c>
    </row>
    <row r="217" spans="1:6" ht="15.75" thickBot="1" x14ac:dyDescent="0.3">
      <c r="A217" s="75">
        <v>13</v>
      </c>
      <c r="B217" s="61"/>
      <c r="C217" s="52"/>
      <c r="D217" s="53" t="s">
        <v>109</v>
      </c>
      <c r="E217" s="62"/>
      <c r="F217" s="68">
        <f t="shared" si="5"/>
        <v>0</v>
      </c>
    </row>
    <row r="218" spans="1:6" ht="15.75" thickBot="1" x14ac:dyDescent="0.3">
      <c r="A218" s="75">
        <v>14</v>
      </c>
      <c r="B218" s="61"/>
      <c r="C218" s="52"/>
      <c r="D218" s="53" t="s">
        <v>109</v>
      </c>
      <c r="E218" s="62"/>
      <c r="F218" s="67">
        <f t="shared" si="5"/>
        <v>0</v>
      </c>
    </row>
    <row r="219" spans="1:6" ht="15.75" thickBot="1" x14ac:dyDescent="0.3">
      <c r="A219" s="75">
        <v>15</v>
      </c>
      <c r="B219" s="61"/>
      <c r="C219" s="52"/>
      <c r="D219" s="53" t="s">
        <v>109</v>
      </c>
      <c r="E219" s="62"/>
      <c r="F219" s="68">
        <f t="shared" si="5"/>
        <v>0</v>
      </c>
    </row>
    <row r="220" spans="1:6" ht="15.75" thickBot="1" x14ac:dyDescent="0.3">
      <c r="A220" s="75">
        <v>16</v>
      </c>
      <c r="B220" s="61"/>
      <c r="C220" s="52"/>
      <c r="D220" s="53" t="s">
        <v>109</v>
      </c>
      <c r="E220" s="62"/>
      <c r="F220" s="67">
        <f t="shared" si="5"/>
        <v>0</v>
      </c>
    </row>
    <row r="221" spans="1:6" ht="15.75" thickBot="1" x14ac:dyDescent="0.3">
      <c r="A221" s="75">
        <v>17</v>
      </c>
      <c r="B221" s="61"/>
      <c r="C221" s="52"/>
      <c r="D221" s="53" t="s">
        <v>109</v>
      </c>
      <c r="E221" s="62"/>
      <c r="F221" s="68">
        <f t="shared" si="5"/>
        <v>0</v>
      </c>
    </row>
    <row r="222" spans="1:6" ht="15.75" thickBot="1" x14ac:dyDescent="0.3">
      <c r="A222" s="75">
        <v>18</v>
      </c>
      <c r="B222" s="61"/>
      <c r="C222" s="52"/>
      <c r="D222" s="53" t="s">
        <v>109</v>
      </c>
      <c r="E222" s="62"/>
      <c r="F222" s="67">
        <f t="shared" si="5"/>
        <v>0</v>
      </c>
    </row>
    <row r="223" spans="1:6" ht="15.75" thickBot="1" x14ac:dyDescent="0.3">
      <c r="A223" s="75">
        <v>19</v>
      </c>
      <c r="B223" s="61"/>
      <c r="C223" s="52"/>
      <c r="D223" s="53" t="s">
        <v>109</v>
      </c>
      <c r="E223" s="62"/>
      <c r="F223" s="68">
        <f t="shared" si="5"/>
        <v>0</v>
      </c>
    </row>
    <row r="224" spans="1:6" ht="15.75" thickBot="1" x14ac:dyDescent="0.3">
      <c r="A224" s="75">
        <v>20</v>
      </c>
      <c r="B224" s="61"/>
      <c r="C224" s="52"/>
      <c r="D224" s="53" t="s">
        <v>109</v>
      </c>
      <c r="E224" s="62"/>
      <c r="F224" s="67">
        <f t="shared" si="5"/>
        <v>0</v>
      </c>
    </row>
    <row r="225" spans="1:6" ht="15.75" thickBot="1" x14ac:dyDescent="0.3">
      <c r="A225" s="75">
        <v>21</v>
      </c>
      <c r="B225" s="61"/>
      <c r="C225" s="52"/>
      <c r="D225" s="53" t="s">
        <v>109</v>
      </c>
      <c r="E225" s="62"/>
      <c r="F225" s="68">
        <f t="shared" si="5"/>
        <v>0</v>
      </c>
    </row>
    <row r="226" spans="1:6" ht="15.75" thickBot="1" x14ac:dyDescent="0.3">
      <c r="A226" s="75">
        <v>22</v>
      </c>
      <c r="B226" s="61"/>
      <c r="C226" s="52"/>
      <c r="D226" s="53" t="s">
        <v>109</v>
      </c>
      <c r="E226" s="62"/>
      <c r="F226" s="67">
        <f t="shared" si="5"/>
        <v>0</v>
      </c>
    </row>
    <row r="227" spans="1:6" ht="15.75" thickBot="1" x14ac:dyDescent="0.3">
      <c r="A227" s="75">
        <v>23</v>
      </c>
      <c r="B227" s="61"/>
      <c r="C227" s="52"/>
      <c r="D227" s="53" t="s">
        <v>109</v>
      </c>
      <c r="E227" s="62"/>
      <c r="F227" s="68">
        <f t="shared" si="5"/>
        <v>0</v>
      </c>
    </row>
    <row r="228" spans="1:6" ht="15.75" thickBot="1" x14ac:dyDescent="0.3">
      <c r="A228" s="75">
        <v>24</v>
      </c>
      <c r="B228" s="61"/>
      <c r="C228" s="52"/>
      <c r="D228" s="53" t="s">
        <v>109</v>
      </c>
      <c r="E228" s="62"/>
      <c r="F228" s="67">
        <f t="shared" si="5"/>
        <v>0</v>
      </c>
    </row>
    <row r="229" spans="1:6" ht="15.75" thickBot="1" x14ac:dyDescent="0.3">
      <c r="A229" s="75">
        <v>25</v>
      </c>
      <c r="B229" s="61"/>
      <c r="C229" s="52"/>
      <c r="D229" s="53" t="s">
        <v>109</v>
      </c>
      <c r="E229" s="62"/>
      <c r="F229" s="68">
        <f t="shared" si="5"/>
        <v>0</v>
      </c>
    </row>
    <row r="230" spans="1:6" ht="15.75" thickBot="1" x14ac:dyDescent="0.3">
      <c r="A230" s="75">
        <v>26</v>
      </c>
      <c r="B230" s="61"/>
      <c r="C230" s="52"/>
      <c r="D230" s="53" t="s">
        <v>109</v>
      </c>
      <c r="E230" s="62"/>
      <c r="F230" s="67">
        <f t="shared" si="5"/>
        <v>0</v>
      </c>
    </row>
    <row r="231" spans="1:6" ht="15.75" thickBot="1" x14ac:dyDescent="0.3">
      <c r="A231" s="75">
        <v>27</v>
      </c>
      <c r="B231" s="61"/>
      <c r="C231" s="52"/>
      <c r="D231" s="53" t="s">
        <v>109</v>
      </c>
      <c r="E231" s="62"/>
      <c r="F231" s="68">
        <f t="shared" si="5"/>
        <v>0</v>
      </c>
    </row>
    <row r="232" spans="1:6" ht="15.75" thickBot="1" x14ac:dyDescent="0.3">
      <c r="A232" s="75">
        <v>28</v>
      </c>
      <c r="B232" s="61"/>
      <c r="C232" s="52"/>
      <c r="D232" s="53" t="s">
        <v>109</v>
      </c>
      <c r="E232" s="62"/>
      <c r="F232" s="67">
        <f t="shared" si="5"/>
        <v>0</v>
      </c>
    </row>
    <row r="233" spans="1:6" ht="15.75" thickBot="1" x14ac:dyDescent="0.3">
      <c r="A233" s="75">
        <v>29</v>
      </c>
      <c r="B233" s="70"/>
      <c r="C233" s="71"/>
      <c r="D233" s="72" t="s">
        <v>109</v>
      </c>
      <c r="E233" s="73"/>
      <c r="F233" s="68">
        <f t="shared" si="5"/>
        <v>0</v>
      </c>
    </row>
    <row r="234" spans="1:6" ht="15.75" thickBot="1" x14ac:dyDescent="0.3">
      <c r="A234" s="79">
        <v>30</v>
      </c>
      <c r="B234" s="54"/>
      <c r="C234" s="52"/>
      <c r="D234" s="53" t="s">
        <v>109</v>
      </c>
      <c r="E234" s="55"/>
      <c r="F234" s="68">
        <f t="shared" si="5"/>
        <v>0</v>
      </c>
    </row>
    <row r="235" spans="1:6" ht="15.75" thickBot="1" x14ac:dyDescent="0.3">
      <c r="A235" s="79">
        <v>31</v>
      </c>
      <c r="B235" s="46"/>
      <c r="C235" s="45"/>
      <c r="D235" s="65" t="s">
        <v>109</v>
      </c>
      <c r="E235" s="45"/>
      <c r="F235" s="68">
        <f t="shared" si="5"/>
        <v>0</v>
      </c>
    </row>
    <row r="236" spans="1:6" ht="15.75" thickBot="1" x14ac:dyDescent="0.3"/>
    <row r="237" spans="1:6" ht="15.75" thickBot="1" x14ac:dyDescent="0.3">
      <c r="A237" s="130" t="s">
        <v>239</v>
      </c>
      <c r="B237" s="131"/>
      <c r="C237" s="131"/>
      <c r="D237" s="131"/>
      <c r="E237" s="131"/>
      <c r="F237" s="131"/>
    </row>
    <row r="238" spans="1:6" ht="15.75" thickBot="1" x14ac:dyDescent="0.3">
      <c r="A238" s="44" t="s">
        <v>66</v>
      </c>
      <c r="B238" s="44" t="s">
        <v>108</v>
      </c>
      <c r="C238" s="44" t="s">
        <v>107</v>
      </c>
      <c r="D238" s="44" t="s">
        <v>67</v>
      </c>
      <c r="E238" s="44" t="s">
        <v>106</v>
      </c>
      <c r="F238" s="49" t="s">
        <v>68</v>
      </c>
    </row>
    <row r="239" spans="1:6" ht="15.75" thickBot="1" x14ac:dyDescent="0.3">
      <c r="A239" s="76">
        <v>1</v>
      </c>
      <c r="B239" s="58"/>
      <c r="C239" s="48"/>
      <c r="D239" s="59" t="s">
        <v>109</v>
      </c>
      <c r="E239" s="60"/>
      <c r="F239" s="68">
        <f>IF(D239="DASHCLUSTER classic V1",(E239*L243)-B239+C239,IF(D239="DASHCLUSTER premium V1",(E239*P243)-B239+C239,IF(D239="Bez prodejů",-B239+C239,"")))</f>
        <v>0</v>
      </c>
    </row>
    <row r="240" spans="1:6" ht="15.75" thickBot="1" x14ac:dyDescent="0.3">
      <c r="A240" s="76">
        <v>2</v>
      </c>
      <c r="B240" s="61"/>
      <c r="C240" s="52"/>
      <c r="D240" s="53" t="s">
        <v>109</v>
      </c>
      <c r="E240" s="62"/>
      <c r="F240" s="67">
        <f>IF(D240="DASHCLUSTER classic V1",(E240*L243)-B240+C240,IF(D240="DASHCLUSTER premium V1",(E240*P243)-B240+C240,IF(D240="Bez prodejů",-B240+C240,"")))</f>
        <v>0</v>
      </c>
    </row>
    <row r="241" spans="1:6" ht="15.75" thickBot="1" x14ac:dyDescent="0.3">
      <c r="A241" s="76">
        <v>3</v>
      </c>
      <c r="B241" s="61"/>
      <c r="C241" s="52"/>
      <c r="D241" s="53" t="s">
        <v>109</v>
      </c>
      <c r="E241" s="62"/>
      <c r="F241" s="68">
        <f>IF(D241="DASHCLUSTER classic V1",(E241*L243)-B241+C241,IF(D241="DASHCLUSTER premium V1",(E241*P243)-B241+C241,IF(D241="Bez prodejů",-B241+C241,"")))</f>
        <v>0</v>
      </c>
    </row>
    <row r="242" spans="1:6" ht="15.75" thickBot="1" x14ac:dyDescent="0.3">
      <c r="A242" s="76">
        <v>4</v>
      </c>
      <c r="B242" s="61"/>
      <c r="C242" s="52"/>
      <c r="D242" s="53" t="s">
        <v>109</v>
      </c>
      <c r="E242" s="62"/>
      <c r="F242" s="68">
        <f>IF(D242="DASHCLUSTER classic V1",(E242*L243)-B242+C242,IF(D242="DASHCLUSTER premium V1",(E242*P243)-B242+C242,IF(D242="Bez prodejů",-B242+C242,"")))</f>
        <v>0</v>
      </c>
    </row>
    <row r="243" spans="1:6" ht="15.75" thickBot="1" x14ac:dyDescent="0.3">
      <c r="A243" s="76">
        <v>5</v>
      </c>
      <c r="B243" s="61"/>
      <c r="C243" s="52"/>
      <c r="D243" s="53" t="s">
        <v>109</v>
      </c>
      <c r="E243" s="62"/>
      <c r="F243" s="67">
        <f>IF(D243="DASHCLUSTER classic V1",(E243*L243)-B243+C243,IF(D243="DASHCLUSTER premium V1",(E243*P243)-B243+C243,IF(D243="Bez prodejů",-B243+C243,"")))</f>
        <v>0</v>
      </c>
    </row>
    <row r="244" spans="1:6" ht="15.75" thickBot="1" x14ac:dyDescent="0.3">
      <c r="A244" s="76">
        <v>6</v>
      </c>
      <c r="B244" s="61"/>
      <c r="C244" s="52"/>
      <c r="D244" s="53" t="s">
        <v>109</v>
      </c>
      <c r="E244" s="62"/>
      <c r="F244" s="68">
        <f>IF(D244="DASHCLUSTER classic V1",(E244*L243)-B244+C244,IF(D244="DASHCLUSTER premium V1",(E244*P243)-B244+C244,IF(D244="Bez prodejů",-B244+C244,"")))</f>
        <v>0</v>
      </c>
    </row>
    <row r="245" spans="1:6" ht="15.75" thickBot="1" x14ac:dyDescent="0.3">
      <c r="A245" s="76">
        <v>7</v>
      </c>
      <c r="B245" s="61"/>
      <c r="C245" s="52"/>
      <c r="D245" s="53" t="s">
        <v>109</v>
      </c>
      <c r="E245" s="62"/>
      <c r="F245" s="68">
        <f>IF(D245="DASHCLUSTER classic V1",(E245*L243)-B245+C245,IF(D245="DASHCLUSTER premium V1",(E245*P243)-B245+C245,IF(D245="Bez prodejů",-B245+C245,"")))</f>
        <v>0</v>
      </c>
    </row>
    <row r="246" spans="1:6" ht="15.75" thickBot="1" x14ac:dyDescent="0.3">
      <c r="A246" s="76">
        <v>8</v>
      </c>
      <c r="B246" s="61"/>
      <c r="C246" s="52"/>
      <c r="D246" s="53" t="s">
        <v>109</v>
      </c>
      <c r="E246" s="62"/>
      <c r="F246" s="68">
        <f>IF(D246="DASHCLUSTER classic V1",(E246*L243)-B246+C246,IF(D246="DASHCLUSTER premium V1",(E246*P243)-B246+C246,IF(D246="Bez prodejů",-B246+C246,"")))</f>
        <v>0</v>
      </c>
    </row>
    <row r="247" spans="1:6" ht="15.75" thickBot="1" x14ac:dyDescent="0.3">
      <c r="A247" s="76">
        <v>9</v>
      </c>
      <c r="B247" s="61"/>
      <c r="C247" s="52"/>
      <c r="D247" s="53" t="s">
        <v>109</v>
      </c>
      <c r="E247" s="62"/>
      <c r="F247" s="67">
        <f>IF(D247="DASHCLUSTER classic V1",(E247*L243)-B247+C247,IF(D247="DASHCLUSTER premium V1",(E247*P243)-B247+C247,IF(D247="Bez prodejů",-B247+C247,"")))</f>
        <v>0</v>
      </c>
    </row>
    <row r="248" spans="1:6" ht="15.75" thickBot="1" x14ac:dyDescent="0.3">
      <c r="A248" s="76">
        <v>10</v>
      </c>
      <c r="B248" s="61"/>
      <c r="C248" s="52"/>
      <c r="D248" s="53" t="s">
        <v>109</v>
      </c>
      <c r="E248" s="62"/>
      <c r="F248" s="68">
        <f>IF(D248="DASHCLUSTER classic V1",(E248*L243)-B248+C248,IF(D248="DASHCLUSTER premium V1",(E248*P243)-B248+C248,IF(D248="Bez prodejů",-B248+C248,"")))</f>
        <v>0</v>
      </c>
    </row>
    <row r="249" spans="1:6" ht="15.75" thickBot="1" x14ac:dyDescent="0.3">
      <c r="A249" s="76">
        <v>11</v>
      </c>
      <c r="B249" s="61"/>
      <c r="C249" s="52"/>
      <c r="D249" s="53" t="s">
        <v>109</v>
      </c>
      <c r="E249" s="62"/>
      <c r="F249" s="68">
        <f>IF(D249="DASHCLUSTER classic V1",(E249*L243)-B249+C249,IF(D249="DASHCLUSTER premium V1",(E249*P243)-B249+C249,IF(D249="Bez prodejů",-B249+C249,"")))</f>
        <v>0</v>
      </c>
    </row>
    <row r="250" spans="1:6" ht="15.75" thickBot="1" x14ac:dyDescent="0.3">
      <c r="A250" s="76">
        <v>12</v>
      </c>
      <c r="B250" s="61"/>
      <c r="C250" s="52"/>
      <c r="D250" s="53" t="s">
        <v>109</v>
      </c>
      <c r="E250" s="62"/>
      <c r="F250" s="67">
        <f>IF(D250="DASHCLUSTER classic V1",(E250*L243)-B250+C250,IF(D250="DASHCLUSTER premium V1",(E250*P243)-B250+C250,IF(D250="Bez prodejů",-B250+C250,"")))</f>
        <v>0</v>
      </c>
    </row>
    <row r="251" spans="1:6" ht="15.75" thickBot="1" x14ac:dyDescent="0.3">
      <c r="A251" s="76">
        <v>13</v>
      </c>
      <c r="B251" s="61"/>
      <c r="C251" s="52"/>
      <c r="D251" s="53" t="s">
        <v>109</v>
      </c>
      <c r="E251" s="62"/>
      <c r="F251" s="68">
        <f>IF(D251="DASHCLUSTER classic V1",(E251*L243)-B251+C251,IF(D251="DASHCLUSTER premium V1",(E251*P243)-B251+C251,IF(D251="Bez prodejů",-B251+C251,"")))</f>
        <v>0</v>
      </c>
    </row>
    <row r="252" spans="1:6" ht="15.75" thickBot="1" x14ac:dyDescent="0.3">
      <c r="A252" s="76">
        <v>14</v>
      </c>
      <c r="B252" s="61"/>
      <c r="C252" s="52"/>
      <c r="D252" s="53" t="s">
        <v>109</v>
      </c>
      <c r="E252" s="62"/>
      <c r="F252" s="68">
        <f>IF(D252="DASHCLUSTER classic V1",(E252*L243)-B252+C252,IF(D252="DASHCLUSTER premium V1",(E252*P243)-B252+C252,IF(D252="Bez prodejů",-B252+C252,"")))</f>
        <v>0</v>
      </c>
    </row>
    <row r="253" spans="1:6" ht="15.75" thickBot="1" x14ac:dyDescent="0.3">
      <c r="A253" s="76">
        <v>15</v>
      </c>
      <c r="B253" s="61"/>
      <c r="C253" s="52"/>
      <c r="D253" s="53" t="s">
        <v>109</v>
      </c>
      <c r="E253" s="62"/>
      <c r="F253" s="68">
        <f>IF(D253="DASHCLUSTER classic V1",(E253*L243)-B253+C253,IF(D253="DASHCLUSTER premium V1",(E253*P243)-B253+C253,IF(D253="Bez prodejů",-B253+C253,"")))</f>
        <v>0</v>
      </c>
    </row>
    <row r="254" spans="1:6" ht="15.75" thickBot="1" x14ac:dyDescent="0.3">
      <c r="A254" s="76">
        <v>16</v>
      </c>
      <c r="B254" s="61"/>
      <c r="C254" s="52"/>
      <c r="D254" s="53" t="s">
        <v>109</v>
      </c>
      <c r="E254" s="62"/>
      <c r="F254" s="67">
        <f>IF(D254="DASHCLUSTER classic V1",(E254*L243)-B254+C254,IF(D254="DASHCLUSTER premium V1",(E254*P243)-B254+C254,IF(D254="Bez prodejů",-B254+C254,"")))</f>
        <v>0</v>
      </c>
    </row>
    <row r="255" spans="1:6" ht="15.75" thickBot="1" x14ac:dyDescent="0.3">
      <c r="A255" s="76">
        <v>17</v>
      </c>
      <c r="B255" s="61"/>
      <c r="C255" s="52"/>
      <c r="D255" s="53" t="s">
        <v>109</v>
      </c>
      <c r="E255" s="62"/>
      <c r="F255" s="68">
        <f>IF(D255="DASHCLUSTER classic V1",(E255*L243)-B255+C255,IF(D255="DASHCLUSTER premium V1",(E255*P243)-B255+C255,IF(D255="Bez prodejů",-B255+C255,"")))</f>
        <v>0</v>
      </c>
    </row>
    <row r="256" spans="1:6" ht="15.75" thickBot="1" x14ac:dyDescent="0.3">
      <c r="A256" s="76">
        <v>18</v>
      </c>
      <c r="B256" s="61"/>
      <c r="C256" s="52"/>
      <c r="D256" s="53" t="s">
        <v>109</v>
      </c>
      <c r="E256" s="62"/>
      <c r="F256" s="67">
        <f>IF(D256="DASHCLUSTER classic V1",(E256*L243)-B256+C256,IF(D256="DASHCLUSTER premium V1",(E256*P243)-B256+C256,IF(D256="Bez prodejů",-B256+C256,"")))</f>
        <v>0</v>
      </c>
    </row>
    <row r="257" spans="1:6" ht="15.75" thickBot="1" x14ac:dyDescent="0.3">
      <c r="A257" s="76">
        <v>19</v>
      </c>
      <c r="B257" s="61"/>
      <c r="C257" s="52"/>
      <c r="D257" s="53" t="s">
        <v>109</v>
      </c>
      <c r="E257" s="62"/>
      <c r="F257" s="68">
        <f>IF(D257="DASHCLUSTER classic V1",(E257*L243)-B257+C257,IF(D257="DASHCLUSTER premium V1",(E257*P243)-B257+C257,IF(D257="Bez prodejů",-B257+C257,"")))</f>
        <v>0</v>
      </c>
    </row>
    <row r="258" spans="1:6" ht="15.75" thickBot="1" x14ac:dyDescent="0.3">
      <c r="A258" s="76">
        <v>20</v>
      </c>
      <c r="B258" s="61"/>
      <c r="C258" s="52"/>
      <c r="D258" s="53" t="s">
        <v>109</v>
      </c>
      <c r="E258" s="62"/>
      <c r="F258" s="68">
        <f>IF(D258="DASHCLUSTER classic V1",(E258*L243)-B258+C258,IF(D258="DASHCLUSTER premium V1",(E258*P243)-B258+C258,IF(D258="Bez prodejů",-B258+C258,"")))</f>
        <v>0</v>
      </c>
    </row>
    <row r="259" spans="1:6" ht="15.75" thickBot="1" x14ac:dyDescent="0.3">
      <c r="A259" s="76">
        <v>21</v>
      </c>
      <c r="B259" s="61"/>
      <c r="C259" s="52"/>
      <c r="D259" s="53" t="s">
        <v>109</v>
      </c>
      <c r="E259" s="62"/>
      <c r="F259" s="67">
        <f>IF(D259="DASHCLUSTER classic V1",(E259*L243)-B259+C259,IF(D259="DASHCLUSTER premium V1",(E259*P243)-B259+C259,IF(D259="Bez prodejů",-B259+C259,"")))</f>
        <v>0</v>
      </c>
    </row>
    <row r="260" spans="1:6" ht="15.75" thickBot="1" x14ac:dyDescent="0.3">
      <c r="A260" s="76">
        <v>22</v>
      </c>
      <c r="B260" s="61"/>
      <c r="C260" s="52"/>
      <c r="D260" s="53" t="s">
        <v>109</v>
      </c>
      <c r="E260" s="62"/>
      <c r="F260" s="68">
        <f>IF(D260="DASHCLUSTER classic V1",(E260*L243)-B260+C260,IF(D260="DASHCLUSTER premium V1",(E260*P243)-B260+C260,IF(D260="Bez prodejů",-B260+C260,"")))</f>
        <v>0</v>
      </c>
    </row>
    <row r="261" spans="1:6" ht="15.75" thickBot="1" x14ac:dyDescent="0.3">
      <c r="A261" s="76">
        <v>23</v>
      </c>
      <c r="B261" s="61"/>
      <c r="C261" s="52"/>
      <c r="D261" s="53" t="s">
        <v>109</v>
      </c>
      <c r="E261" s="62"/>
      <c r="F261" s="68">
        <f>IF(D261="DASHCLUSTER classic V1",(E261*L243)-B261+C261,IF(D261="DASHCLUSTER premium V1",(E261*P243)-B261+C261,IF(D261="Bez prodejů",-B261+C261,"")))</f>
        <v>0</v>
      </c>
    </row>
    <row r="262" spans="1:6" ht="15.75" thickBot="1" x14ac:dyDescent="0.3">
      <c r="A262" s="76">
        <v>24</v>
      </c>
      <c r="B262" s="61"/>
      <c r="C262" s="52"/>
      <c r="D262" s="53" t="s">
        <v>109</v>
      </c>
      <c r="E262" s="62"/>
      <c r="F262" s="68">
        <f>IF(D262="DASHCLUSTER classic V1",(E262*L243)-B262+C262,IF(D262="DASHCLUSTER premium V1",(E262*P243)-B262+C262,IF(D262="Bez prodejů",-B262+C262,"")))</f>
        <v>0</v>
      </c>
    </row>
    <row r="263" spans="1:6" ht="15.75" thickBot="1" x14ac:dyDescent="0.3">
      <c r="A263" s="76">
        <v>25</v>
      </c>
      <c r="B263" s="61"/>
      <c r="C263" s="52"/>
      <c r="D263" s="53" t="s">
        <v>109</v>
      </c>
      <c r="E263" s="62"/>
      <c r="F263" s="67">
        <f>IF(D263="DASHCLUSTER classic V1",(E263*L243)-B263+C263,IF(D263="DASHCLUSTER premium V1",(E263*P243)-B263+C263,IF(D263="Bez prodejů",-B263+C263,"")))</f>
        <v>0</v>
      </c>
    </row>
    <row r="264" spans="1:6" ht="15.75" thickBot="1" x14ac:dyDescent="0.3">
      <c r="A264" s="76">
        <v>26</v>
      </c>
      <c r="B264" s="61"/>
      <c r="C264" s="52"/>
      <c r="D264" s="53" t="s">
        <v>109</v>
      </c>
      <c r="E264" s="62"/>
      <c r="F264" s="68">
        <f>IF(D264="DASHCLUSTER classic V1",(E264*L243)-B264+C264,IF(D264="DASHCLUSTER premium V1",(E264*P243)-B264+C264,IF(D264="Bez prodejů",-B264+C264,"")))</f>
        <v>0</v>
      </c>
    </row>
    <row r="265" spans="1:6" ht="15.75" thickBot="1" x14ac:dyDescent="0.3">
      <c r="A265" s="76">
        <v>27</v>
      </c>
      <c r="B265" s="61"/>
      <c r="C265" s="52"/>
      <c r="D265" s="53" t="s">
        <v>109</v>
      </c>
      <c r="E265" s="62"/>
      <c r="F265" s="68">
        <f>IF(D265="DASHCLUSTER classic V1",(E265*L243)-B265+C265,IF(D265="DASHCLUSTER premium V1",(E265*P243)-B265+C265,IF(D265="Bez prodejů",-B265+C265,"")))</f>
        <v>0</v>
      </c>
    </row>
    <row r="266" spans="1:6" ht="15.75" thickBot="1" x14ac:dyDescent="0.3">
      <c r="A266" s="76">
        <v>28</v>
      </c>
      <c r="B266" s="61"/>
      <c r="C266" s="52"/>
      <c r="D266" s="53" t="s">
        <v>109</v>
      </c>
      <c r="E266" s="62"/>
      <c r="F266" s="67">
        <f>IF(D266="DASHCLUSTER classic V1",(E266*L243)-B266+C266,IF(D266="DASHCLUSTER premium V1",(E266*P243)-B266+C266,IF(D266="Bez prodejů",-B266+C266,"")))</f>
        <v>0</v>
      </c>
    </row>
    <row r="267" spans="1:6" ht="15.75" thickBot="1" x14ac:dyDescent="0.3">
      <c r="A267" s="76">
        <v>29</v>
      </c>
      <c r="B267" s="61"/>
      <c r="C267" s="52"/>
      <c r="D267" s="53" t="s">
        <v>109</v>
      </c>
      <c r="E267" s="62"/>
      <c r="F267" s="68">
        <f>IF(D267="DASHCLUSTER classic V1",(E267*L243)-B267+C267,IF(D267="DASHCLUSTER premium V1",(E267*P243)-B267+C267,IF(D267="Bez prodejů",-B267+C267,"")))</f>
        <v>0</v>
      </c>
    </row>
    <row r="268" spans="1:6" ht="15.75" thickBot="1" x14ac:dyDescent="0.3">
      <c r="A268" s="76">
        <v>30</v>
      </c>
      <c r="B268" s="63"/>
      <c r="C268" s="64"/>
      <c r="D268" s="65" t="s">
        <v>109</v>
      </c>
      <c r="E268" s="66"/>
      <c r="F268" s="68">
        <f>IF(D268="DASHCLUSTER classic V1",(E268*L243)-B268+C268,IF(D268="DASHCLUSTER premium V1",(E268*P243)-B268+C268,IF(D268="Bez prodejů",-B268+C268,"")))</f>
        <v>0</v>
      </c>
    </row>
    <row r="269" spans="1:6" ht="15.75" thickBot="1" x14ac:dyDescent="0.3"/>
    <row r="270" spans="1:6" ht="15.75" thickBot="1" x14ac:dyDescent="0.3">
      <c r="A270" s="130" t="s">
        <v>110</v>
      </c>
      <c r="B270" s="131"/>
      <c r="C270" s="131"/>
      <c r="D270" s="131"/>
      <c r="E270" s="131"/>
      <c r="F270" s="131"/>
    </row>
    <row r="271" spans="1:6" ht="15.75" thickBot="1" x14ac:dyDescent="0.3">
      <c r="A271" s="44" t="s">
        <v>66</v>
      </c>
      <c r="B271" s="44" t="s">
        <v>108</v>
      </c>
      <c r="C271" s="44" t="s">
        <v>107</v>
      </c>
      <c r="D271" s="44" t="s">
        <v>67</v>
      </c>
      <c r="E271" s="44" t="s">
        <v>106</v>
      </c>
      <c r="F271" s="49" t="s">
        <v>68</v>
      </c>
    </row>
    <row r="272" spans="1:6" ht="15.75" thickBot="1" x14ac:dyDescent="0.3">
      <c r="A272" s="77">
        <v>1</v>
      </c>
      <c r="B272" s="58"/>
      <c r="C272" s="48"/>
      <c r="D272" s="59" t="s">
        <v>109</v>
      </c>
      <c r="E272" s="60"/>
      <c r="F272" s="68">
        <f>IF(D272="DASHCLUSTER classic V1",(E272*$L$8)-B272+C272,IF(D272="DASHCLUSTER premium V1",(E272*$P$8)-B272+C272,IF(D272="Bez prodejů",-B272+C272,"")))</f>
        <v>0</v>
      </c>
    </row>
    <row r="273" spans="1:6" ht="15.75" thickBot="1" x14ac:dyDescent="0.3">
      <c r="A273" s="77">
        <v>2</v>
      </c>
      <c r="B273" s="61"/>
      <c r="C273" s="52"/>
      <c r="D273" s="53" t="s">
        <v>109</v>
      </c>
      <c r="E273" s="62"/>
      <c r="F273" s="67">
        <f>IF(D273="DASHCLUSTER classic V1",(E273*$L$8)-B273+C273,IF(D273="DASHCLUSTER premium V1",(E273*$P$8)-B273+C273,IF(D273="Bez prodejů",-B273+C273,"")))</f>
        <v>0</v>
      </c>
    </row>
    <row r="274" spans="1:6" ht="15.75" thickBot="1" x14ac:dyDescent="0.3">
      <c r="A274" s="77">
        <v>3</v>
      </c>
      <c r="B274" s="61"/>
      <c r="C274" s="52"/>
      <c r="D274" s="53" t="s">
        <v>109</v>
      </c>
      <c r="E274" s="62"/>
      <c r="F274" s="68">
        <f t="shared" ref="F274:F302" si="6">IF(D274="DASHCLUSTER classic V1",(E274*$L$8)-B274+C274,IF(D274="DASHCLUSTER premium V1",(E274*$P$8)-B274+C274,IF(D274="Bez prodejů",-B274+C274,"")))</f>
        <v>0</v>
      </c>
    </row>
    <row r="275" spans="1:6" ht="15.75" thickBot="1" x14ac:dyDescent="0.3">
      <c r="A275" s="77">
        <v>4</v>
      </c>
      <c r="B275" s="61"/>
      <c r="C275" s="52"/>
      <c r="D275" s="53" t="s">
        <v>109</v>
      </c>
      <c r="E275" s="62"/>
      <c r="F275" s="67">
        <f t="shared" si="6"/>
        <v>0</v>
      </c>
    </row>
    <row r="276" spans="1:6" ht="15.75" thickBot="1" x14ac:dyDescent="0.3">
      <c r="A276" s="77">
        <v>5</v>
      </c>
      <c r="B276" s="61"/>
      <c r="C276" s="52"/>
      <c r="D276" s="53" t="s">
        <v>109</v>
      </c>
      <c r="E276" s="62"/>
      <c r="F276" s="68">
        <f t="shared" si="6"/>
        <v>0</v>
      </c>
    </row>
    <row r="277" spans="1:6" ht="15.75" thickBot="1" x14ac:dyDescent="0.3">
      <c r="A277" s="77">
        <v>6</v>
      </c>
      <c r="B277" s="61"/>
      <c r="C277" s="52"/>
      <c r="D277" s="53" t="s">
        <v>109</v>
      </c>
      <c r="E277" s="62"/>
      <c r="F277" s="67">
        <f t="shared" si="6"/>
        <v>0</v>
      </c>
    </row>
    <row r="278" spans="1:6" ht="15.75" thickBot="1" x14ac:dyDescent="0.3">
      <c r="A278" s="77">
        <v>7</v>
      </c>
      <c r="B278" s="61"/>
      <c r="C278" s="52"/>
      <c r="D278" s="53" t="s">
        <v>109</v>
      </c>
      <c r="E278" s="62"/>
      <c r="F278" s="68">
        <f t="shared" si="6"/>
        <v>0</v>
      </c>
    </row>
    <row r="279" spans="1:6" ht="15.75" thickBot="1" x14ac:dyDescent="0.3">
      <c r="A279" s="77">
        <v>8</v>
      </c>
      <c r="B279" s="61"/>
      <c r="C279" s="52"/>
      <c r="D279" s="53" t="s">
        <v>109</v>
      </c>
      <c r="E279" s="62"/>
      <c r="F279" s="67">
        <f t="shared" si="6"/>
        <v>0</v>
      </c>
    </row>
    <row r="280" spans="1:6" ht="15.75" thickBot="1" x14ac:dyDescent="0.3">
      <c r="A280" s="77">
        <v>9</v>
      </c>
      <c r="B280" s="61"/>
      <c r="C280" s="52"/>
      <c r="D280" s="53" t="s">
        <v>109</v>
      </c>
      <c r="E280" s="62"/>
      <c r="F280" s="68">
        <f t="shared" si="6"/>
        <v>0</v>
      </c>
    </row>
    <row r="281" spans="1:6" ht="15.75" thickBot="1" x14ac:dyDescent="0.3">
      <c r="A281" s="77">
        <v>10</v>
      </c>
      <c r="B281" s="61"/>
      <c r="C281" s="52"/>
      <c r="D281" s="53" t="s">
        <v>109</v>
      </c>
      <c r="E281" s="62"/>
      <c r="F281" s="67">
        <f t="shared" si="6"/>
        <v>0</v>
      </c>
    </row>
    <row r="282" spans="1:6" ht="15.75" thickBot="1" x14ac:dyDescent="0.3">
      <c r="A282" s="77">
        <v>11</v>
      </c>
      <c r="B282" s="61"/>
      <c r="C282" s="52"/>
      <c r="D282" s="53" t="s">
        <v>109</v>
      </c>
      <c r="E282" s="62"/>
      <c r="F282" s="68">
        <f t="shared" si="6"/>
        <v>0</v>
      </c>
    </row>
    <row r="283" spans="1:6" ht="15.75" thickBot="1" x14ac:dyDescent="0.3">
      <c r="A283" s="77">
        <v>12</v>
      </c>
      <c r="B283" s="61"/>
      <c r="C283" s="52"/>
      <c r="D283" s="53" t="s">
        <v>109</v>
      </c>
      <c r="E283" s="62"/>
      <c r="F283" s="67">
        <f t="shared" si="6"/>
        <v>0</v>
      </c>
    </row>
    <row r="284" spans="1:6" ht="15.75" thickBot="1" x14ac:dyDescent="0.3">
      <c r="A284" s="77">
        <v>13</v>
      </c>
      <c r="B284" s="61"/>
      <c r="C284" s="52"/>
      <c r="D284" s="53" t="s">
        <v>109</v>
      </c>
      <c r="E284" s="62"/>
      <c r="F284" s="68">
        <f t="shared" si="6"/>
        <v>0</v>
      </c>
    </row>
    <row r="285" spans="1:6" ht="15.75" thickBot="1" x14ac:dyDescent="0.3">
      <c r="A285" s="77">
        <v>14</v>
      </c>
      <c r="B285" s="61"/>
      <c r="C285" s="52"/>
      <c r="D285" s="53" t="s">
        <v>109</v>
      </c>
      <c r="E285" s="62"/>
      <c r="F285" s="67">
        <f t="shared" si="6"/>
        <v>0</v>
      </c>
    </row>
    <row r="286" spans="1:6" ht="15.75" thickBot="1" x14ac:dyDescent="0.3">
      <c r="A286" s="77">
        <v>15</v>
      </c>
      <c r="B286" s="61"/>
      <c r="C286" s="52"/>
      <c r="D286" s="53" t="s">
        <v>109</v>
      </c>
      <c r="E286" s="62"/>
      <c r="F286" s="68">
        <f t="shared" si="6"/>
        <v>0</v>
      </c>
    </row>
    <row r="287" spans="1:6" ht="15.75" thickBot="1" x14ac:dyDescent="0.3">
      <c r="A287" s="77">
        <v>16</v>
      </c>
      <c r="B287" s="61"/>
      <c r="C287" s="52"/>
      <c r="D287" s="53" t="s">
        <v>109</v>
      </c>
      <c r="E287" s="62"/>
      <c r="F287" s="67">
        <f t="shared" si="6"/>
        <v>0</v>
      </c>
    </row>
    <row r="288" spans="1:6" ht="15.75" thickBot="1" x14ac:dyDescent="0.3">
      <c r="A288" s="77">
        <v>17</v>
      </c>
      <c r="B288" s="61"/>
      <c r="C288" s="52"/>
      <c r="D288" s="53" t="s">
        <v>109</v>
      </c>
      <c r="E288" s="62"/>
      <c r="F288" s="68">
        <f t="shared" si="6"/>
        <v>0</v>
      </c>
    </row>
    <row r="289" spans="1:6" ht="15.75" thickBot="1" x14ac:dyDescent="0.3">
      <c r="A289" s="77">
        <v>18</v>
      </c>
      <c r="B289" s="61"/>
      <c r="C289" s="52"/>
      <c r="D289" s="53" t="s">
        <v>109</v>
      </c>
      <c r="E289" s="62"/>
      <c r="F289" s="67">
        <f t="shared" si="6"/>
        <v>0</v>
      </c>
    </row>
    <row r="290" spans="1:6" ht="15.75" thickBot="1" x14ac:dyDescent="0.3">
      <c r="A290" s="77">
        <v>19</v>
      </c>
      <c r="B290" s="61"/>
      <c r="C290" s="52"/>
      <c r="D290" s="53" t="s">
        <v>109</v>
      </c>
      <c r="E290" s="62"/>
      <c r="F290" s="68">
        <f t="shared" si="6"/>
        <v>0</v>
      </c>
    </row>
    <row r="291" spans="1:6" ht="15.75" thickBot="1" x14ac:dyDescent="0.3">
      <c r="A291" s="77">
        <v>20</v>
      </c>
      <c r="B291" s="61"/>
      <c r="C291" s="52"/>
      <c r="D291" s="53" t="s">
        <v>109</v>
      </c>
      <c r="E291" s="62"/>
      <c r="F291" s="67">
        <f t="shared" si="6"/>
        <v>0</v>
      </c>
    </row>
    <row r="292" spans="1:6" ht="15.75" thickBot="1" x14ac:dyDescent="0.3">
      <c r="A292" s="77">
        <v>21</v>
      </c>
      <c r="B292" s="61"/>
      <c r="C292" s="52"/>
      <c r="D292" s="53" t="s">
        <v>109</v>
      </c>
      <c r="E292" s="62"/>
      <c r="F292" s="68">
        <f t="shared" si="6"/>
        <v>0</v>
      </c>
    </row>
    <row r="293" spans="1:6" ht="15.75" thickBot="1" x14ac:dyDescent="0.3">
      <c r="A293" s="77">
        <v>22</v>
      </c>
      <c r="B293" s="61"/>
      <c r="C293" s="52"/>
      <c r="D293" s="53" t="s">
        <v>109</v>
      </c>
      <c r="E293" s="62"/>
      <c r="F293" s="67">
        <f t="shared" si="6"/>
        <v>0</v>
      </c>
    </row>
    <row r="294" spans="1:6" ht="15.75" thickBot="1" x14ac:dyDescent="0.3">
      <c r="A294" s="77">
        <v>23</v>
      </c>
      <c r="B294" s="61"/>
      <c r="C294" s="52"/>
      <c r="D294" s="53" t="s">
        <v>109</v>
      </c>
      <c r="E294" s="62"/>
      <c r="F294" s="68">
        <f t="shared" si="6"/>
        <v>0</v>
      </c>
    </row>
    <row r="295" spans="1:6" ht="15.75" thickBot="1" x14ac:dyDescent="0.3">
      <c r="A295" s="77">
        <v>24</v>
      </c>
      <c r="B295" s="61"/>
      <c r="C295" s="52"/>
      <c r="D295" s="53" t="s">
        <v>109</v>
      </c>
      <c r="E295" s="62"/>
      <c r="F295" s="67">
        <f t="shared" si="6"/>
        <v>0</v>
      </c>
    </row>
    <row r="296" spans="1:6" ht="15.75" thickBot="1" x14ac:dyDescent="0.3">
      <c r="A296" s="77">
        <v>25</v>
      </c>
      <c r="B296" s="61"/>
      <c r="C296" s="52"/>
      <c r="D296" s="53" t="s">
        <v>109</v>
      </c>
      <c r="E296" s="62"/>
      <c r="F296" s="68">
        <f t="shared" si="6"/>
        <v>0</v>
      </c>
    </row>
    <row r="297" spans="1:6" ht="15.75" thickBot="1" x14ac:dyDescent="0.3">
      <c r="A297" s="77">
        <v>26</v>
      </c>
      <c r="B297" s="61"/>
      <c r="C297" s="52"/>
      <c r="D297" s="53" t="s">
        <v>109</v>
      </c>
      <c r="E297" s="62"/>
      <c r="F297" s="67">
        <f t="shared" si="6"/>
        <v>0</v>
      </c>
    </row>
    <row r="298" spans="1:6" ht="15.75" thickBot="1" x14ac:dyDescent="0.3">
      <c r="A298" s="77">
        <v>27</v>
      </c>
      <c r="B298" s="61"/>
      <c r="C298" s="52"/>
      <c r="D298" s="53" t="s">
        <v>109</v>
      </c>
      <c r="E298" s="62"/>
      <c r="F298" s="68">
        <f t="shared" si="6"/>
        <v>0</v>
      </c>
    </row>
    <row r="299" spans="1:6" ht="15.75" thickBot="1" x14ac:dyDescent="0.3">
      <c r="A299" s="77">
        <v>28</v>
      </c>
      <c r="B299" s="61"/>
      <c r="C299" s="52"/>
      <c r="D299" s="53" t="s">
        <v>109</v>
      </c>
      <c r="E299" s="62"/>
      <c r="F299" s="67">
        <f t="shared" si="6"/>
        <v>0</v>
      </c>
    </row>
    <row r="300" spans="1:6" ht="15.75" thickBot="1" x14ac:dyDescent="0.3">
      <c r="A300" s="77">
        <v>29</v>
      </c>
      <c r="B300" s="70"/>
      <c r="C300" s="71"/>
      <c r="D300" s="72" t="s">
        <v>109</v>
      </c>
      <c r="E300" s="73"/>
      <c r="F300" s="68">
        <f t="shared" si="6"/>
        <v>0</v>
      </c>
    </row>
    <row r="301" spans="1:6" ht="15.75" thickBot="1" x14ac:dyDescent="0.3">
      <c r="A301" s="78">
        <v>30</v>
      </c>
      <c r="B301" s="54"/>
      <c r="C301" s="52"/>
      <c r="D301" s="53" t="s">
        <v>109</v>
      </c>
      <c r="E301" s="55"/>
      <c r="F301" s="68">
        <f t="shared" si="6"/>
        <v>0</v>
      </c>
    </row>
    <row r="302" spans="1:6" ht="15.75" thickBot="1" x14ac:dyDescent="0.3">
      <c r="A302" s="78">
        <v>31</v>
      </c>
      <c r="B302" s="46"/>
      <c r="C302" s="45"/>
      <c r="D302" s="65" t="s">
        <v>109</v>
      </c>
      <c r="E302" s="45"/>
      <c r="F302" s="68">
        <f t="shared" si="6"/>
        <v>0</v>
      </c>
    </row>
  </sheetData>
  <mergeCells count="109">
    <mergeCell ref="L22:M22"/>
    <mergeCell ref="L23:M23"/>
    <mergeCell ref="L24:M24"/>
    <mergeCell ref="L25:M25"/>
    <mergeCell ref="L26:M26"/>
    <mergeCell ref="L27:M27"/>
    <mergeCell ref="L33:M33"/>
    <mergeCell ref="L28:M28"/>
    <mergeCell ref="L29:M29"/>
    <mergeCell ref="L30:M30"/>
    <mergeCell ref="L31:M31"/>
    <mergeCell ref="L32:M3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A170:F170"/>
    <mergeCell ref="A203:F203"/>
    <mergeCell ref="A237:F237"/>
    <mergeCell ref="A270:F270"/>
    <mergeCell ref="A136:F136"/>
    <mergeCell ref="H32:I32"/>
    <mergeCell ref="H33:I33"/>
    <mergeCell ref="H24:I24"/>
    <mergeCell ref="H25:I25"/>
    <mergeCell ref="H26:I26"/>
    <mergeCell ref="H27:I27"/>
    <mergeCell ref="H28:I28"/>
    <mergeCell ref="H29:I29"/>
    <mergeCell ref="H30:I30"/>
    <mergeCell ref="H4:I4"/>
    <mergeCell ref="H6:I6"/>
    <mergeCell ref="A35:F35"/>
    <mergeCell ref="A69:F69"/>
    <mergeCell ref="A102:F102"/>
    <mergeCell ref="H7:I7"/>
    <mergeCell ref="H5:I5"/>
    <mergeCell ref="H12:I12"/>
    <mergeCell ref="H13:I13"/>
    <mergeCell ref="H14:I14"/>
    <mergeCell ref="H15:I15"/>
    <mergeCell ref="H16:I16"/>
    <mergeCell ref="H17:I17"/>
    <mergeCell ref="H18:I18"/>
    <mergeCell ref="H9:I9"/>
    <mergeCell ref="H31:I31"/>
    <mergeCell ref="H8:I8"/>
    <mergeCell ref="H11:M11"/>
    <mergeCell ref="L12:M12"/>
    <mergeCell ref="H19:I19"/>
    <mergeCell ref="H20:I20"/>
    <mergeCell ref="H21:I21"/>
    <mergeCell ref="H22:I22"/>
    <mergeCell ref="H23:I23"/>
    <mergeCell ref="L4:M4"/>
    <mergeCell ref="J5:K5"/>
    <mergeCell ref="N8:O8"/>
    <mergeCell ref="P8:Q8"/>
    <mergeCell ref="N9:O9"/>
    <mergeCell ref="P9:Q9"/>
    <mergeCell ref="N2:Q2"/>
    <mergeCell ref="N7:O7"/>
    <mergeCell ref="P7:Q7"/>
    <mergeCell ref="N5:O5"/>
    <mergeCell ref="P5:Q5"/>
    <mergeCell ref="N6:O6"/>
    <mergeCell ref="P6:Q6"/>
    <mergeCell ref="P3:Q3"/>
    <mergeCell ref="P4:Q4"/>
    <mergeCell ref="O11:R11"/>
    <mergeCell ref="O12:P12"/>
    <mergeCell ref="Q12:R12"/>
    <mergeCell ref="H1:I1"/>
    <mergeCell ref="J3:K3"/>
    <mergeCell ref="L3:M3"/>
    <mergeCell ref="A2:F2"/>
    <mergeCell ref="G2:I2"/>
    <mergeCell ref="H3:I3"/>
    <mergeCell ref="J1:Q1"/>
    <mergeCell ref="A1:F1"/>
    <mergeCell ref="L5:M5"/>
    <mergeCell ref="L9:M9"/>
    <mergeCell ref="J9:K9"/>
    <mergeCell ref="J2:M2"/>
    <mergeCell ref="N3:O3"/>
    <mergeCell ref="N4:O4"/>
    <mergeCell ref="J6:K6"/>
    <mergeCell ref="L6:M6"/>
    <mergeCell ref="J7:K7"/>
    <mergeCell ref="J8:K8"/>
    <mergeCell ref="L7:M7"/>
    <mergeCell ref="L8:M8"/>
    <mergeCell ref="J4:K4"/>
    <mergeCell ref="O34:R34"/>
    <mergeCell ref="O30:R30"/>
    <mergeCell ref="O32:R32"/>
    <mergeCell ref="O14:R14"/>
    <mergeCell ref="O16:R16"/>
    <mergeCell ref="O18:R18"/>
    <mergeCell ref="O20:R20"/>
    <mergeCell ref="O22:R22"/>
    <mergeCell ref="O24:R24"/>
    <mergeCell ref="O26:R26"/>
    <mergeCell ref="O28:R28"/>
  </mergeCells>
  <phoneticPr fontId="7" type="noConversion"/>
  <conditionalFormatting sqref="O14:R14">
    <cfRule type="containsText" dxfId="21" priority="37" operator="containsText" text="Čeká">
      <formula>NOT(ISERROR(SEARCH("Čeká",O14)))</formula>
    </cfRule>
    <cfRule type="containsText" dxfId="20" priority="38" operator="containsText" text="Vyrovnáno">
      <formula>NOT(ISERROR(SEARCH("Vyrovnáno",O14)))</formula>
    </cfRule>
  </conditionalFormatting>
  <conditionalFormatting sqref="O16:R16">
    <cfRule type="containsText" dxfId="19" priority="35" operator="containsText" text="Čeká">
      <formula>NOT(ISERROR(SEARCH("Čeká",O16)))</formula>
    </cfRule>
    <cfRule type="containsText" dxfId="18" priority="36" operator="containsText" text="Vyrovnáno">
      <formula>NOT(ISERROR(SEARCH("Vyrovnáno",O16)))</formula>
    </cfRule>
  </conditionalFormatting>
  <conditionalFormatting sqref="O18:R18">
    <cfRule type="containsText" dxfId="17" priority="33" operator="containsText" text="Čeká">
      <formula>NOT(ISERROR(SEARCH("Čeká",O18)))</formula>
    </cfRule>
    <cfRule type="containsText" dxfId="16" priority="34" operator="containsText" text="Vyrovnáno">
      <formula>NOT(ISERROR(SEARCH("Vyrovnáno",O18)))</formula>
    </cfRule>
  </conditionalFormatting>
  <conditionalFormatting sqref="O20:R20">
    <cfRule type="containsText" dxfId="15" priority="15" operator="containsText" text="Čeká">
      <formula>NOT(ISERROR(SEARCH("Čeká",O20)))</formula>
    </cfRule>
    <cfRule type="containsText" dxfId="14" priority="16" operator="containsText" text="Vyrovnáno">
      <formula>NOT(ISERROR(SEARCH("Vyrovnáno",O20)))</formula>
    </cfRule>
  </conditionalFormatting>
  <conditionalFormatting sqref="O22:R22">
    <cfRule type="containsText" dxfId="13" priority="13" operator="containsText" text="Čeká">
      <formula>NOT(ISERROR(SEARCH("Čeká",O22)))</formula>
    </cfRule>
    <cfRule type="containsText" dxfId="12" priority="14" operator="containsText" text="Vyrovnáno">
      <formula>NOT(ISERROR(SEARCH("Vyrovnáno",O22)))</formula>
    </cfRule>
  </conditionalFormatting>
  <conditionalFormatting sqref="O24:R24">
    <cfRule type="containsText" dxfId="11" priority="11" operator="containsText" text="Čeká">
      <formula>NOT(ISERROR(SEARCH("Čeká",O24)))</formula>
    </cfRule>
    <cfRule type="containsText" dxfId="10" priority="12" operator="containsText" text="Vyrovnáno">
      <formula>NOT(ISERROR(SEARCH("Vyrovnáno",O24)))</formula>
    </cfRule>
  </conditionalFormatting>
  <conditionalFormatting sqref="O26:R26">
    <cfRule type="containsText" dxfId="9" priority="9" operator="containsText" text="Čeká">
      <formula>NOT(ISERROR(SEARCH("Čeká",O26)))</formula>
    </cfRule>
    <cfRule type="containsText" dxfId="8" priority="10" operator="containsText" text="Vyrovnáno">
      <formula>NOT(ISERROR(SEARCH("Vyrovnáno",O26)))</formula>
    </cfRule>
  </conditionalFormatting>
  <conditionalFormatting sqref="O28:R28">
    <cfRule type="containsText" dxfId="7" priority="7" operator="containsText" text="Čeká">
      <formula>NOT(ISERROR(SEARCH("Čeká",O28)))</formula>
    </cfRule>
    <cfRule type="containsText" dxfId="6" priority="8" operator="containsText" text="Vyrovnáno">
      <formula>NOT(ISERROR(SEARCH("Vyrovnáno",O28)))</formula>
    </cfRule>
  </conditionalFormatting>
  <conditionalFormatting sqref="O30:R30">
    <cfRule type="containsText" dxfId="5" priority="5" operator="containsText" text="Čeká">
      <formula>NOT(ISERROR(SEARCH("Čeká",O30)))</formula>
    </cfRule>
    <cfRule type="containsText" dxfId="4" priority="6" operator="containsText" text="Vyrovnáno">
      <formula>NOT(ISERROR(SEARCH("Vyrovnáno",O30)))</formula>
    </cfRule>
  </conditionalFormatting>
  <conditionalFormatting sqref="O32:R32">
    <cfRule type="containsText" dxfId="3" priority="3" operator="containsText" text="Čeká">
      <formula>NOT(ISERROR(SEARCH("Čeká",O32)))</formula>
    </cfRule>
    <cfRule type="containsText" dxfId="2" priority="4" operator="containsText" text="Vyrovnáno">
      <formula>NOT(ISERROR(SEARCH("Vyrovnáno",O32)))</formula>
    </cfRule>
  </conditionalFormatting>
  <conditionalFormatting sqref="O34:R34">
    <cfRule type="containsText" dxfId="1" priority="1" operator="containsText" text="Čeká">
      <formula>NOT(ISERROR(SEARCH("Čeká",O34)))</formula>
    </cfRule>
    <cfRule type="containsText" dxfId="0" priority="2" operator="containsText" text="Vyrovnáno">
      <formula>NOT(ISERROR(SEARCH("Vyrovnáno",O34)))</formula>
    </cfRule>
  </conditionalFormatting>
  <dataValidations count="1">
    <dataValidation type="list" allowBlank="1" showInputMessage="1" showErrorMessage="1" sqref="D4:D33 D37:D67 D71:D100 D205:D235 D104:D134 D172:D201 D138:D168 D239:D268 D272:D302" xr:uid="{7C53A691-C806-44F3-9BBB-7A3E8F1CB5DC}">
      <formula1>"Bez prodejů, DASHCLUSTER classic V1, DASHCLUSTER premium V1"</formula1>
    </dataValidation>
  </dataValidations>
  <hyperlinks>
    <hyperlink ref="L13:M13" r:id="rId1" display="https://d.docs.live.net/5bfe2883faedf2c4/Desktop/dash%20cluster/ucetnictvi/faktury%20prichozi/27012026_JLCpcb.pdf" xr:uid="{D4D77B60-217B-4010-95E6-01D6A245A35D}"/>
    <hyperlink ref="L14:M14" r:id="rId2" display="https://d.docs.live.net/5bfe2883faedf2c4/Desktop/dash%20cluster/ucetnictvi/faktury%20prichozi/09022026_LaskaKit.pdf" xr:uid="{693F64A9-8570-4F48-A276-0F6059406094}"/>
    <hyperlink ref="L15:M15" r:id="rId3" display="https://d.docs.live.net/5bfe2883faedf2c4/Desktop/dash%20cluster/ucetnictvi/faktury%20prichozi/25v1000ufC_aliexpress.png" xr:uid="{84B3A199-699A-4125-A4C3-36FE91B51924}"/>
    <hyperlink ref="L16:M16" r:id="rId4" display="https://d.docs.live.net/5bfe2883faedf2c4/Desktop/dash%20cluster/ucetnictvi/faktury%20prichozi/blackswitch_aliexpress.png" xr:uid="{082B6779-3B79-45D5-9E17-187EA8F0CCAE}"/>
    <hyperlink ref="L17:M17" r:id="rId5" display="https://d.docs.live.net/5bfe2883faedf2c4/Desktop/dash%20cluster/ucetnictvi/faktury%20prichozi/50v100nfC_aliexpress.png" xr:uid="{DBF3BE1A-7370-4951-AEF3-85686D9697A3}"/>
    <hyperlink ref="L18:M18" r:id="rId6" display="https://d.docs.live.net/5bfe2883faedf2c4/Desktop/dash%20cluster/ucetnictvi/faktury%20prichozi/ws2812b5vDC_aliexpress.png" xr:uid="{DE447A9E-C62B-43C7-910C-87A21B5A1F3B}"/>
    <hyperlink ref="L19:M19" r:id="rId7" display="https://d.docs.live.net/5bfe2883faedf2c4/Desktop/dash%20cluster/ucetnictvi/faktury%20prichozi/30values330R0.25W_aliexpress.png" xr:uid="{8DA8EEC5-70EB-4852-8C6F-85467431A68D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F9DF-6484-4CF5-906E-E7E9E4B6BF08}">
  <dimension ref="A1:Q302"/>
  <sheetViews>
    <sheetView workbookViewId="0">
      <selection activeCell="B4" sqref="B4"/>
    </sheetView>
  </sheetViews>
  <sheetFormatPr defaultRowHeight="15" x14ac:dyDescent="0.25"/>
  <cols>
    <col min="1" max="3" width="15.5703125" customWidth="1"/>
    <col min="4" max="4" width="26.7109375" customWidth="1"/>
    <col min="5" max="6" width="15.5703125" customWidth="1"/>
    <col min="7" max="7" width="18.5703125" customWidth="1"/>
  </cols>
  <sheetData>
    <row r="1" spans="1:17" ht="16.5" thickBot="1" x14ac:dyDescent="0.3">
      <c r="A1" s="140" t="s">
        <v>64</v>
      </c>
      <c r="B1" s="141"/>
      <c r="C1" s="141"/>
      <c r="D1" s="141"/>
      <c r="E1" s="141"/>
      <c r="F1" s="142"/>
      <c r="G1" s="26" t="s">
        <v>29</v>
      </c>
      <c r="H1" s="124">
        <f ca="1">TODAY()</f>
        <v>46157</v>
      </c>
      <c r="I1" s="125"/>
      <c r="J1" s="137" t="s">
        <v>99</v>
      </c>
      <c r="K1" s="138"/>
      <c r="L1" s="138"/>
      <c r="M1" s="138"/>
      <c r="N1" s="138"/>
      <c r="O1" s="138"/>
      <c r="P1" s="138"/>
      <c r="Q1" s="139"/>
    </row>
    <row r="2" spans="1:17" ht="15.75" thickBot="1" x14ac:dyDescent="0.3">
      <c r="A2" s="130" t="s">
        <v>65</v>
      </c>
      <c r="B2" s="131"/>
      <c r="C2" s="131"/>
      <c r="D2" s="131"/>
      <c r="E2" s="131"/>
      <c r="F2" s="131"/>
      <c r="G2" s="132" t="s">
        <v>100</v>
      </c>
      <c r="H2" s="133"/>
      <c r="I2" s="134"/>
      <c r="J2" s="148" t="s">
        <v>102</v>
      </c>
      <c r="K2" s="149"/>
      <c r="L2" s="149"/>
      <c r="M2" s="150"/>
      <c r="N2" s="148" t="s">
        <v>101</v>
      </c>
      <c r="O2" s="149"/>
      <c r="P2" s="149"/>
      <c r="Q2" s="150"/>
    </row>
    <row r="3" spans="1:17" ht="15.75" thickBot="1" x14ac:dyDescent="0.3">
      <c r="A3" s="44" t="s">
        <v>66</v>
      </c>
      <c r="B3" s="44" t="s">
        <v>108</v>
      </c>
      <c r="C3" s="44" t="s">
        <v>107</v>
      </c>
      <c r="D3" s="44" t="s">
        <v>67</v>
      </c>
      <c r="E3" s="44" t="s">
        <v>106</v>
      </c>
      <c r="F3" s="49" t="s">
        <v>68</v>
      </c>
      <c r="G3" s="50" t="s">
        <v>105</v>
      </c>
      <c r="H3" s="135">
        <f>SUM(B4:B33)+SUM(B37:B67)+SUM(B71:B100)+SUM(B104:B134)+SUM(B138:B168)+SUM(B172:B201)+SUM(B205:B235)+SUM(B239:B268)+SUM(B272:B302)</f>
        <v>0</v>
      </c>
      <c r="I3" s="136"/>
      <c r="J3" s="126" t="s">
        <v>32</v>
      </c>
      <c r="K3" s="127"/>
      <c r="L3" s="128">
        <f>'DASHCLUSTER classic V1'!L2</f>
        <v>1.7</v>
      </c>
      <c r="M3" s="129"/>
      <c r="N3" s="151" t="s">
        <v>32</v>
      </c>
      <c r="O3" s="127"/>
      <c r="P3" s="128">
        <f>'DASHCLUSTER premium V1'!L2</f>
        <v>0.5</v>
      </c>
      <c r="Q3" s="129"/>
    </row>
    <row r="4" spans="1:17" ht="15.75" thickBot="1" x14ac:dyDescent="0.3">
      <c r="A4" s="56" t="s">
        <v>69</v>
      </c>
      <c r="B4" s="58"/>
      <c r="C4" s="48"/>
      <c r="D4" s="59" t="s">
        <v>109</v>
      </c>
      <c r="E4" s="60"/>
      <c r="F4" s="68">
        <f>IF(D4="DASHCLUSTER classic V1",(E4*$L$8)-B4+C4,IF(D4="DASHCLUSTER premium V1",(E4*$P$8)-B4+C4,IF(D4="Bez prodejů",-B4+C4,"")))</f>
        <v>0</v>
      </c>
      <c r="G4" s="82" t="s">
        <v>240</v>
      </c>
      <c r="H4" s="162">
        <f>SUM(C4:C33)+SUM(C37:C67)+SUM(C71:C100)+SUM(C104:C134)+SUM(C138:C168)+SUM(C172:C201)+SUM(C205:C235)+SUM(C239:C268)+SUM(C272:C302)</f>
        <v>0</v>
      </c>
      <c r="I4" s="163"/>
      <c r="J4" s="126" t="s">
        <v>37</v>
      </c>
      <c r="K4" s="127"/>
      <c r="L4" s="160">
        <f>'DASHCLUSTER classic V1'!L3</f>
        <v>0.15</v>
      </c>
      <c r="M4" s="129"/>
      <c r="N4" s="151" t="s">
        <v>37</v>
      </c>
      <c r="O4" s="127"/>
      <c r="P4" s="160">
        <f>'DASHCLUSTER premium V1'!L3</f>
        <v>0.15</v>
      </c>
      <c r="Q4" s="129"/>
    </row>
    <row r="5" spans="1:17" ht="15.75" thickBot="1" x14ac:dyDescent="0.3">
      <c r="A5" s="56" t="s">
        <v>70</v>
      </c>
      <c r="B5" s="61"/>
      <c r="C5" s="52"/>
      <c r="D5" s="53" t="s">
        <v>109</v>
      </c>
      <c r="E5" s="62"/>
      <c r="F5" s="80">
        <f>IF(D5="DASHCLUSTER classic V1",(E5*$L$8)-B5+C5,IF(D5="DASHCLUSTER premium V1",(E5*$P$8)-B5+C5,IF(D5="Bez prodejů",-B5+C5,"")))</f>
        <v>0</v>
      </c>
      <c r="G5" s="83" t="s">
        <v>242</v>
      </c>
      <c r="H5" s="168">
        <f>SUM(E4:E33)+SUM(E37:E67)+SUM(E71:E100)+SUM(E104:E134)+SUM(E138:E168)+SUM(E172:E201)+SUM(E205:E235)+SUM(E239:E268)+SUM(E272:E302)</f>
        <v>0</v>
      </c>
      <c r="I5" s="169"/>
      <c r="J5" s="152" t="s">
        <v>31</v>
      </c>
      <c r="K5" s="153"/>
      <c r="L5" s="143">
        <f>'DASHCLUSTER classic V1'!M9</f>
        <v>368.55073333333331</v>
      </c>
      <c r="M5" s="144"/>
      <c r="N5" s="161" t="s">
        <v>31</v>
      </c>
      <c r="O5" s="153"/>
      <c r="P5" s="143">
        <f>'DASHCLUSTER premium V1'!M9</f>
        <v>853.33691919191915</v>
      </c>
      <c r="Q5" s="144"/>
    </row>
    <row r="6" spans="1:17" ht="15.75" thickBot="1" x14ac:dyDescent="0.3">
      <c r="A6" s="56" t="s">
        <v>71</v>
      </c>
      <c r="B6" s="61"/>
      <c r="C6" s="52"/>
      <c r="D6" s="53" t="s">
        <v>109</v>
      </c>
      <c r="E6" s="62"/>
      <c r="F6" s="81">
        <f t="shared" ref="F6:F33" si="0">IF(D6="DASHCLUSTER classic V1",(E6*$L$8)-B6+C6,IF(D6="DASHCLUSTER premium V1",(E6*$P$8)-B6+C6,IF(D6="Bez prodejů",-B6+C6,"")))</f>
        <v>0</v>
      </c>
      <c r="G6" s="83" t="s">
        <v>243</v>
      </c>
      <c r="H6" s="262" cm="1">
        <f t="array" ref="H6">SUM((F4:F33)+SUM(F37:F67)+SUM(F71:F100)+SUM(F104:F134)+SUM(F138:F168)+SUM(F172:F201)+SUM(F205:F235)+SUM(F239:F268)+SUM(F272:F302))*(1-L4)</f>
        <v>0</v>
      </c>
      <c r="I6" s="263"/>
      <c r="J6" s="152" t="s">
        <v>34</v>
      </c>
      <c r="K6" s="153"/>
      <c r="L6" s="154">
        <f>'DASHCLUSTER classic V1'!M10</f>
        <v>995.08698000000004</v>
      </c>
      <c r="M6" s="155"/>
      <c r="N6" s="161" t="s">
        <v>34</v>
      </c>
      <c r="O6" s="153"/>
      <c r="P6" s="154">
        <f>'DASHCLUSTER premium V1'!M10</f>
        <v>1280.0053787878787</v>
      </c>
      <c r="Q6" s="155"/>
    </row>
    <row r="7" spans="1:17" ht="15.75" thickBot="1" x14ac:dyDescent="0.3">
      <c r="A7" s="51" t="s">
        <v>72</v>
      </c>
      <c r="B7" s="61"/>
      <c r="C7" s="52"/>
      <c r="D7" s="53" t="s">
        <v>109</v>
      </c>
      <c r="E7" s="62"/>
      <c r="F7" s="67">
        <f t="shared" si="0"/>
        <v>0</v>
      </c>
      <c r="G7" s="83" t="s">
        <v>241</v>
      </c>
      <c r="H7" s="166">
        <f>H6/2</f>
        <v>0</v>
      </c>
      <c r="I7" s="167"/>
      <c r="J7" s="152" t="s">
        <v>35</v>
      </c>
      <c r="K7" s="153"/>
      <c r="L7" s="143">
        <f>'DASHCLUSTER classic V1'!M11</f>
        <v>630.44926666666674</v>
      </c>
      <c r="M7" s="144"/>
      <c r="N7" s="161" t="s">
        <v>35</v>
      </c>
      <c r="O7" s="153"/>
      <c r="P7" s="143">
        <f>'DASHCLUSTER premium V1'!M11</f>
        <v>445.66308080808085</v>
      </c>
      <c r="Q7" s="144"/>
    </row>
    <row r="8" spans="1:17" ht="15.75" thickBot="1" x14ac:dyDescent="0.3">
      <c r="A8" s="56" t="s">
        <v>73</v>
      </c>
      <c r="B8" s="61"/>
      <c r="C8" s="52"/>
      <c r="D8" s="53" t="s">
        <v>109</v>
      </c>
      <c r="E8" s="62"/>
      <c r="F8" s="68">
        <f t="shared" si="0"/>
        <v>0</v>
      </c>
      <c r="J8" s="156" t="s">
        <v>36</v>
      </c>
      <c r="K8" s="157"/>
      <c r="L8" s="158">
        <f>'DASHCLUSTER classic V1'!M12</f>
        <v>535.8818766666667</v>
      </c>
      <c r="M8" s="159"/>
      <c r="N8" s="156" t="s">
        <v>36</v>
      </c>
      <c r="O8" s="157"/>
      <c r="P8" s="158">
        <f>'DASHCLUSTER premium V1'!M12</f>
        <v>378.81361868686872</v>
      </c>
      <c r="Q8" s="159"/>
    </row>
    <row r="9" spans="1:17" ht="15.75" thickBot="1" x14ac:dyDescent="0.3">
      <c r="A9" s="51" t="s">
        <v>74</v>
      </c>
      <c r="B9" s="61"/>
      <c r="C9" s="52"/>
      <c r="D9" s="53" t="s">
        <v>109</v>
      </c>
      <c r="E9" s="62"/>
      <c r="F9" s="67">
        <f t="shared" si="0"/>
        <v>0</v>
      </c>
      <c r="J9" s="130" t="s">
        <v>63</v>
      </c>
      <c r="K9" s="147"/>
      <c r="L9" s="145">
        <f>'DASHCLUSTER classic V1'!M13</f>
        <v>999</v>
      </c>
      <c r="M9" s="146"/>
      <c r="N9" s="130" t="s">
        <v>63</v>
      </c>
      <c r="O9" s="147"/>
      <c r="P9" s="145">
        <f>'DASHCLUSTER premium V1'!M13</f>
        <v>1299</v>
      </c>
      <c r="Q9" s="146"/>
    </row>
    <row r="10" spans="1:17" ht="15.75" thickBot="1" x14ac:dyDescent="0.3">
      <c r="A10" s="56" t="s">
        <v>75</v>
      </c>
      <c r="B10" s="61"/>
      <c r="C10" s="52"/>
      <c r="D10" s="53" t="s">
        <v>109</v>
      </c>
      <c r="E10" s="62"/>
      <c r="F10" s="68">
        <f t="shared" si="0"/>
        <v>0</v>
      </c>
    </row>
    <row r="11" spans="1:17" ht="15.75" thickBot="1" x14ac:dyDescent="0.3">
      <c r="A11" s="51" t="s">
        <v>76</v>
      </c>
      <c r="B11" s="61"/>
      <c r="C11" s="52"/>
      <c r="D11" s="53" t="s">
        <v>109</v>
      </c>
      <c r="E11" s="62"/>
      <c r="F11" s="67">
        <f t="shared" si="0"/>
        <v>0</v>
      </c>
    </row>
    <row r="12" spans="1:17" ht="15.75" thickBot="1" x14ac:dyDescent="0.3">
      <c r="A12" s="56" t="s">
        <v>77</v>
      </c>
      <c r="B12" s="61"/>
      <c r="C12" s="52"/>
      <c r="D12" s="53" t="s">
        <v>109</v>
      </c>
      <c r="E12" s="62"/>
      <c r="F12" s="68">
        <f t="shared" si="0"/>
        <v>0</v>
      </c>
    </row>
    <row r="13" spans="1:17" ht="15.75" thickBot="1" x14ac:dyDescent="0.3">
      <c r="A13" s="56" t="s">
        <v>78</v>
      </c>
      <c r="B13" s="61"/>
      <c r="C13" s="52"/>
      <c r="D13" s="53" t="s">
        <v>109</v>
      </c>
      <c r="E13" s="62"/>
      <c r="F13" s="67">
        <f t="shared" si="0"/>
        <v>0</v>
      </c>
    </row>
    <row r="14" spans="1:17" ht="15.75" thickBot="1" x14ac:dyDescent="0.3">
      <c r="A14" s="56" t="s">
        <v>79</v>
      </c>
      <c r="B14" s="61"/>
      <c r="C14" s="52"/>
      <c r="D14" s="53" t="s">
        <v>109</v>
      </c>
      <c r="E14" s="62"/>
      <c r="F14" s="68">
        <f t="shared" si="0"/>
        <v>0</v>
      </c>
    </row>
    <row r="15" spans="1:17" ht="15.75" thickBot="1" x14ac:dyDescent="0.3">
      <c r="A15" s="51" t="s">
        <v>80</v>
      </c>
      <c r="B15" s="61"/>
      <c r="C15" s="52"/>
      <c r="D15" s="53" t="s">
        <v>109</v>
      </c>
      <c r="E15" s="62"/>
      <c r="F15" s="67">
        <f t="shared" si="0"/>
        <v>0</v>
      </c>
    </row>
    <row r="16" spans="1:17" ht="15.75" thickBot="1" x14ac:dyDescent="0.3">
      <c r="A16" s="56" t="s">
        <v>81</v>
      </c>
      <c r="B16" s="61"/>
      <c r="C16" s="52"/>
      <c r="D16" s="53" t="s">
        <v>109</v>
      </c>
      <c r="E16" s="62"/>
      <c r="F16" s="68">
        <f t="shared" si="0"/>
        <v>0</v>
      </c>
    </row>
    <row r="17" spans="1:6" ht="15.75" thickBot="1" x14ac:dyDescent="0.3">
      <c r="A17" s="51" t="s">
        <v>82</v>
      </c>
      <c r="B17" s="61"/>
      <c r="C17" s="52"/>
      <c r="D17" s="53" t="s">
        <v>109</v>
      </c>
      <c r="E17" s="62"/>
      <c r="F17" s="67">
        <f t="shared" si="0"/>
        <v>0</v>
      </c>
    </row>
    <row r="18" spans="1:6" ht="15.75" thickBot="1" x14ac:dyDescent="0.3">
      <c r="A18" s="56" t="s">
        <v>83</v>
      </c>
      <c r="B18" s="61"/>
      <c r="C18" s="52"/>
      <c r="D18" s="53" t="s">
        <v>109</v>
      </c>
      <c r="E18" s="62"/>
      <c r="F18" s="68">
        <f t="shared" si="0"/>
        <v>0</v>
      </c>
    </row>
    <row r="19" spans="1:6" ht="15.75" thickBot="1" x14ac:dyDescent="0.3">
      <c r="A19" s="51" t="s">
        <v>84</v>
      </c>
      <c r="B19" s="61"/>
      <c r="C19" s="52"/>
      <c r="D19" s="53" t="s">
        <v>109</v>
      </c>
      <c r="E19" s="62"/>
      <c r="F19" s="67">
        <f t="shared" si="0"/>
        <v>0</v>
      </c>
    </row>
    <row r="20" spans="1:6" ht="15.75" thickBot="1" x14ac:dyDescent="0.3">
      <c r="A20" s="56" t="s">
        <v>85</v>
      </c>
      <c r="B20" s="61"/>
      <c r="C20" s="52"/>
      <c r="D20" s="53" t="s">
        <v>109</v>
      </c>
      <c r="E20" s="62"/>
      <c r="F20" s="68">
        <f t="shared" si="0"/>
        <v>0</v>
      </c>
    </row>
    <row r="21" spans="1:6" ht="15.75" thickBot="1" x14ac:dyDescent="0.3">
      <c r="A21" s="51" t="s">
        <v>86</v>
      </c>
      <c r="B21" s="61"/>
      <c r="C21" s="52"/>
      <c r="D21" s="53" t="s">
        <v>109</v>
      </c>
      <c r="E21" s="62"/>
      <c r="F21" s="67">
        <f t="shared" si="0"/>
        <v>0</v>
      </c>
    </row>
    <row r="22" spans="1:6" ht="15.75" thickBot="1" x14ac:dyDescent="0.3">
      <c r="A22" s="56" t="s">
        <v>87</v>
      </c>
      <c r="B22" s="61"/>
      <c r="C22" s="52"/>
      <c r="D22" s="53" t="s">
        <v>109</v>
      </c>
      <c r="E22" s="62"/>
      <c r="F22" s="68">
        <f t="shared" si="0"/>
        <v>0</v>
      </c>
    </row>
    <row r="23" spans="1:6" ht="15.75" thickBot="1" x14ac:dyDescent="0.3">
      <c r="A23" s="51" t="s">
        <v>88</v>
      </c>
      <c r="B23" s="61"/>
      <c r="C23" s="52"/>
      <c r="D23" s="53" t="s">
        <v>109</v>
      </c>
      <c r="E23" s="62"/>
      <c r="F23" s="67">
        <f t="shared" si="0"/>
        <v>0</v>
      </c>
    </row>
    <row r="24" spans="1:6" ht="15.75" thickBot="1" x14ac:dyDescent="0.3">
      <c r="A24" s="56" t="s">
        <v>89</v>
      </c>
      <c r="B24" s="61"/>
      <c r="C24" s="52"/>
      <c r="D24" s="53" t="s">
        <v>109</v>
      </c>
      <c r="E24" s="62"/>
      <c r="F24" s="68">
        <f t="shared" si="0"/>
        <v>0</v>
      </c>
    </row>
    <row r="25" spans="1:6" ht="15.75" thickBot="1" x14ac:dyDescent="0.3">
      <c r="A25" s="51" t="s">
        <v>90</v>
      </c>
      <c r="B25" s="61"/>
      <c r="C25" s="52"/>
      <c r="D25" s="53" t="s">
        <v>109</v>
      </c>
      <c r="E25" s="62"/>
      <c r="F25" s="67">
        <f t="shared" si="0"/>
        <v>0</v>
      </c>
    </row>
    <row r="26" spans="1:6" ht="15.75" thickBot="1" x14ac:dyDescent="0.3">
      <c r="A26" s="56" t="s">
        <v>91</v>
      </c>
      <c r="B26" s="61"/>
      <c r="C26" s="52"/>
      <c r="D26" s="53" t="s">
        <v>109</v>
      </c>
      <c r="E26" s="62"/>
      <c r="F26" s="68">
        <f t="shared" si="0"/>
        <v>0</v>
      </c>
    </row>
    <row r="27" spans="1:6" ht="15.75" thickBot="1" x14ac:dyDescent="0.3">
      <c r="A27" s="51" t="s">
        <v>92</v>
      </c>
      <c r="B27" s="61"/>
      <c r="C27" s="52"/>
      <c r="D27" s="53" t="s">
        <v>109</v>
      </c>
      <c r="E27" s="62"/>
      <c r="F27" s="67">
        <f t="shared" si="0"/>
        <v>0</v>
      </c>
    </row>
    <row r="28" spans="1:6" ht="15.75" thickBot="1" x14ac:dyDescent="0.3">
      <c r="A28" s="56" t="s">
        <v>93</v>
      </c>
      <c r="B28" s="61"/>
      <c r="C28" s="52"/>
      <c r="D28" s="53" t="s">
        <v>109</v>
      </c>
      <c r="E28" s="62"/>
      <c r="F28" s="68">
        <f t="shared" si="0"/>
        <v>0</v>
      </c>
    </row>
    <row r="29" spans="1:6" ht="15.75" thickBot="1" x14ac:dyDescent="0.3">
      <c r="A29" s="51" t="s">
        <v>94</v>
      </c>
      <c r="B29" s="61"/>
      <c r="C29" s="52"/>
      <c r="D29" s="53" t="s">
        <v>109</v>
      </c>
      <c r="E29" s="62"/>
      <c r="F29" s="67">
        <f t="shared" si="0"/>
        <v>0</v>
      </c>
    </row>
    <row r="30" spans="1:6" ht="15.75" thickBot="1" x14ac:dyDescent="0.3">
      <c r="A30" s="56" t="s">
        <v>95</v>
      </c>
      <c r="B30" s="61"/>
      <c r="C30" s="52"/>
      <c r="D30" s="53" t="s">
        <v>109</v>
      </c>
      <c r="E30" s="62"/>
      <c r="F30" s="68">
        <f t="shared" si="0"/>
        <v>0</v>
      </c>
    </row>
    <row r="31" spans="1:6" ht="15.75" thickBot="1" x14ac:dyDescent="0.3">
      <c r="A31" s="51" t="s">
        <v>96</v>
      </c>
      <c r="B31" s="61"/>
      <c r="C31" s="52"/>
      <c r="D31" s="53" t="s">
        <v>109</v>
      </c>
      <c r="E31" s="62"/>
      <c r="F31" s="67">
        <f t="shared" si="0"/>
        <v>0</v>
      </c>
    </row>
    <row r="32" spans="1:6" ht="15.75" thickBot="1" x14ac:dyDescent="0.3">
      <c r="A32" s="56" t="s">
        <v>97</v>
      </c>
      <c r="B32" s="61"/>
      <c r="C32" s="52"/>
      <c r="D32" s="53" t="s">
        <v>109</v>
      </c>
      <c r="E32" s="62"/>
      <c r="F32" s="68">
        <f t="shared" si="0"/>
        <v>0</v>
      </c>
    </row>
    <row r="33" spans="1:6" ht="15.75" thickBot="1" x14ac:dyDescent="0.3">
      <c r="A33" s="57" t="s">
        <v>98</v>
      </c>
      <c r="B33" s="63"/>
      <c r="C33" s="64"/>
      <c r="D33" s="65" t="s">
        <v>109</v>
      </c>
      <c r="E33" s="66"/>
      <c r="F33" s="68">
        <f t="shared" si="0"/>
        <v>0</v>
      </c>
    </row>
    <row r="34" spans="1:6" ht="15.75" thickBot="1" x14ac:dyDescent="0.3">
      <c r="A34" s="35"/>
    </row>
    <row r="35" spans="1:6" ht="15.75" thickBot="1" x14ac:dyDescent="0.3">
      <c r="A35" s="130" t="s">
        <v>110</v>
      </c>
      <c r="B35" s="131"/>
      <c r="C35" s="131"/>
      <c r="D35" s="131"/>
      <c r="E35" s="131"/>
      <c r="F35" s="131"/>
    </row>
    <row r="36" spans="1:6" ht="15.75" thickBot="1" x14ac:dyDescent="0.3">
      <c r="A36" s="44" t="s">
        <v>66</v>
      </c>
      <c r="B36" s="44" t="s">
        <v>108</v>
      </c>
      <c r="C36" s="44" t="s">
        <v>107</v>
      </c>
      <c r="D36" s="44" t="s">
        <v>67</v>
      </c>
      <c r="E36" s="44" t="s">
        <v>106</v>
      </c>
      <c r="F36" s="49" t="s">
        <v>68</v>
      </c>
    </row>
    <row r="37" spans="1:6" ht="15.75" thickBot="1" x14ac:dyDescent="0.3">
      <c r="A37" s="56" t="s">
        <v>111</v>
      </c>
      <c r="B37" s="58"/>
      <c r="C37" s="48"/>
      <c r="D37" s="59" t="s">
        <v>109</v>
      </c>
      <c r="E37" s="60"/>
      <c r="F37" s="68">
        <f>IF(D37="DASHCLUSTER classic V1",(E37*$L$8)-B37+C37,IF(D37="DASHCLUSTER premium V1",(E37*$P$8)-B37+C37,IF(D37="Bez prodejů",-B37+C37,"")))</f>
        <v>0</v>
      </c>
    </row>
    <row r="38" spans="1:6" ht="15.75" thickBot="1" x14ac:dyDescent="0.3">
      <c r="A38" s="56" t="s">
        <v>112</v>
      </c>
      <c r="B38" s="61"/>
      <c r="C38" s="52"/>
      <c r="D38" s="53" t="s">
        <v>109</v>
      </c>
      <c r="E38" s="62"/>
      <c r="F38" s="67">
        <f>IF(D38="DASHCLUSTER classic V1",(E38*$L$8)-B38+C38,IF(D38="DASHCLUSTER premium V1",(E38*$P$8)-B38+C38,IF(D38="Bez prodejů",-B38+C38,"")))</f>
        <v>0</v>
      </c>
    </row>
    <row r="39" spans="1:6" ht="15.75" thickBot="1" x14ac:dyDescent="0.3">
      <c r="A39" s="56" t="s">
        <v>113</v>
      </c>
      <c r="B39" s="61"/>
      <c r="C39" s="52"/>
      <c r="D39" s="53" t="s">
        <v>109</v>
      </c>
      <c r="E39" s="62"/>
      <c r="F39" s="68">
        <f t="shared" ref="F39:F67" si="1">IF(D39="DASHCLUSTER classic V1",(E39*$L$8)-B39+C39,IF(D39="DASHCLUSTER premium V1",(E39*$P$8)-B39+C39,IF(D39="Bez prodejů",-B39+C39,"")))</f>
        <v>0</v>
      </c>
    </row>
    <row r="40" spans="1:6" ht="15.75" thickBot="1" x14ac:dyDescent="0.3">
      <c r="A40" s="56" t="s">
        <v>114</v>
      </c>
      <c r="B40" s="61"/>
      <c r="C40" s="52"/>
      <c r="D40" s="53" t="s">
        <v>109</v>
      </c>
      <c r="E40" s="62"/>
      <c r="F40" s="67">
        <f t="shared" si="1"/>
        <v>0</v>
      </c>
    </row>
    <row r="41" spans="1:6" ht="15.75" thickBot="1" x14ac:dyDescent="0.3">
      <c r="A41" s="56" t="s">
        <v>115</v>
      </c>
      <c r="B41" s="61"/>
      <c r="C41" s="52"/>
      <c r="D41" s="53" t="s">
        <v>109</v>
      </c>
      <c r="E41" s="62"/>
      <c r="F41" s="68">
        <f t="shared" si="1"/>
        <v>0</v>
      </c>
    </row>
    <row r="42" spans="1:6" ht="15.75" thickBot="1" x14ac:dyDescent="0.3">
      <c r="A42" s="56" t="s">
        <v>116</v>
      </c>
      <c r="B42" s="61"/>
      <c r="C42" s="52"/>
      <c r="D42" s="53" t="s">
        <v>109</v>
      </c>
      <c r="E42" s="62"/>
      <c r="F42" s="67">
        <f t="shared" si="1"/>
        <v>0</v>
      </c>
    </row>
    <row r="43" spans="1:6" ht="15.75" thickBot="1" x14ac:dyDescent="0.3">
      <c r="A43" s="56" t="s">
        <v>117</v>
      </c>
      <c r="B43" s="61"/>
      <c r="C43" s="52"/>
      <c r="D43" s="53" t="s">
        <v>109</v>
      </c>
      <c r="E43" s="62"/>
      <c r="F43" s="68">
        <f t="shared" si="1"/>
        <v>0</v>
      </c>
    </row>
    <row r="44" spans="1:6" ht="15.75" thickBot="1" x14ac:dyDescent="0.3">
      <c r="A44" s="56" t="s">
        <v>118</v>
      </c>
      <c r="B44" s="61"/>
      <c r="C44" s="52"/>
      <c r="D44" s="53" t="s">
        <v>109</v>
      </c>
      <c r="E44" s="62"/>
      <c r="F44" s="67">
        <f t="shared" si="1"/>
        <v>0</v>
      </c>
    </row>
    <row r="45" spans="1:6" ht="15.75" thickBot="1" x14ac:dyDescent="0.3">
      <c r="A45" s="56" t="s">
        <v>119</v>
      </c>
      <c r="B45" s="61"/>
      <c r="C45" s="52"/>
      <c r="D45" s="53" t="s">
        <v>109</v>
      </c>
      <c r="E45" s="62"/>
      <c r="F45" s="68">
        <f t="shared" si="1"/>
        <v>0</v>
      </c>
    </row>
    <row r="46" spans="1:6" ht="15.75" thickBot="1" x14ac:dyDescent="0.3">
      <c r="A46" s="56" t="s">
        <v>120</v>
      </c>
      <c r="B46" s="61"/>
      <c r="C46" s="52"/>
      <c r="D46" s="53" t="s">
        <v>109</v>
      </c>
      <c r="E46" s="62"/>
      <c r="F46" s="67">
        <f t="shared" si="1"/>
        <v>0</v>
      </c>
    </row>
    <row r="47" spans="1:6" ht="15.75" thickBot="1" x14ac:dyDescent="0.3">
      <c r="A47" s="56" t="s">
        <v>121</v>
      </c>
      <c r="B47" s="61"/>
      <c r="C47" s="52"/>
      <c r="D47" s="53" t="s">
        <v>109</v>
      </c>
      <c r="E47" s="62"/>
      <c r="F47" s="68">
        <f t="shared" si="1"/>
        <v>0</v>
      </c>
    </row>
    <row r="48" spans="1:6" ht="15.75" thickBot="1" x14ac:dyDescent="0.3">
      <c r="A48" s="56" t="s">
        <v>122</v>
      </c>
      <c r="B48" s="61"/>
      <c r="C48" s="52"/>
      <c r="D48" s="53" t="s">
        <v>109</v>
      </c>
      <c r="E48" s="62"/>
      <c r="F48" s="67">
        <f t="shared" si="1"/>
        <v>0</v>
      </c>
    </row>
    <row r="49" spans="1:6" ht="15.75" thickBot="1" x14ac:dyDescent="0.3">
      <c r="A49" s="56" t="s">
        <v>123</v>
      </c>
      <c r="B49" s="61"/>
      <c r="C49" s="52"/>
      <c r="D49" s="53" t="s">
        <v>109</v>
      </c>
      <c r="E49" s="62"/>
      <c r="F49" s="68">
        <f t="shared" si="1"/>
        <v>0</v>
      </c>
    </row>
    <row r="50" spans="1:6" ht="15.75" thickBot="1" x14ac:dyDescent="0.3">
      <c r="A50" s="56" t="s">
        <v>124</v>
      </c>
      <c r="B50" s="61"/>
      <c r="C50" s="52"/>
      <c r="D50" s="53" t="s">
        <v>109</v>
      </c>
      <c r="E50" s="62"/>
      <c r="F50" s="67">
        <f t="shared" si="1"/>
        <v>0</v>
      </c>
    </row>
    <row r="51" spans="1:6" ht="15.75" thickBot="1" x14ac:dyDescent="0.3">
      <c r="A51" s="56" t="s">
        <v>125</v>
      </c>
      <c r="B51" s="61"/>
      <c r="C51" s="52"/>
      <c r="D51" s="53" t="s">
        <v>109</v>
      </c>
      <c r="E51" s="62"/>
      <c r="F51" s="68">
        <f t="shared" si="1"/>
        <v>0</v>
      </c>
    </row>
    <row r="52" spans="1:6" ht="15.75" thickBot="1" x14ac:dyDescent="0.3">
      <c r="A52" s="56" t="s">
        <v>126</v>
      </c>
      <c r="B52" s="61"/>
      <c r="C52" s="52"/>
      <c r="D52" s="53" t="s">
        <v>109</v>
      </c>
      <c r="E52" s="62"/>
      <c r="F52" s="67">
        <f t="shared" si="1"/>
        <v>0</v>
      </c>
    </row>
    <row r="53" spans="1:6" ht="15.75" thickBot="1" x14ac:dyDescent="0.3">
      <c r="A53" s="56" t="s">
        <v>127</v>
      </c>
      <c r="B53" s="61"/>
      <c r="C53" s="52"/>
      <c r="D53" s="53" t="s">
        <v>109</v>
      </c>
      <c r="E53" s="62"/>
      <c r="F53" s="68">
        <f t="shared" si="1"/>
        <v>0</v>
      </c>
    </row>
    <row r="54" spans="1:6" ht="15.75" thickBot="1" x14ac:dyDescent="0.3">
      <c r="A54" s="56" t="s">
        <v>128</v>
      </c>
      <c r="B54" s="61"/>
      <c r="C54" s="52"/>
      <c r="D54" s="53" t="s">
        <v>109</v>
      </c>
      <c r="E54" s="62"/>
      <c r="F54" s="67">
        <f t="shared" si="1"/>
        <v>0</v>
      </c>
    </row>
    <row r="55" spans="1:6" ht="15.75" thickBot="1" x14ac:dyDescent="0.3">
      <c r="A55" s="56" t="s">
        <v>129</v>
      </c>
      <c r="B55" s="61"/>
      <c r="C55" s="52"/>
      <c r="D55" s="53" t="s">
        <v>109</v>
      </c>
      <c r="E55" s="62"/>
      <c r="F55" s="68">
        <f t="shared" si="1"/>
        <v>0</v>
      </c>
    </row>
    <row r="56" spans="1:6" ht="15.75" thickBot="1" x14ac:dyDescent="0.3">
      <c r="A56" s="56" t="s">
        <v>130</v>
      </c>
      <c r="B56" s="61"/>
      <c r="C56" s="52"/>
      <c r="D56" s="53" t="s">
        <v>109</v>
      </c>
      <c r="E56" s="62"/>
      <c r="F56" s="67">
        <f t="shared" si="1"/>
        <v>0</v>
      </c>
    </row>
    <row r="57" spans="1:6" ht="15.75" thickBot="1" x14ac:dyDescent="0.3">
      <c r="A57" s="56" t="s">
        <v>131</v>
      </c>
      <c r="B57" s="61"/>
      <c r="C57" s="52"/>
      <c r="D57" s="53" t="s">
        <v>109</v>
      </c>
      <c r="E57" s="62"/>
      <c r="F57" s="68">
        <f t="shared" si="1"/>
        <v>0</v>
      </c>
    </row>
    <row r="58" spans="1:6" ht="15.75" thickBot="1" x14ac:dyDescent="0.3">
      <c r="A58" s="56" t="s">
        <v>132</v>
      </c>
      <c r="B58" s="61"/>
      <c r="C58" s="52"/>
      <c r="D58" s="53" t="s">
        <v>109</v>
      </c>
      <c r="E58" s="62"/>
      <c r="F58" s="67">
        <f t="shared" si="1"/>
        <v>0</v>
      </c>
    </row>
    <row r="59" spans="1:6" ht="15.75" thickBot="1" x14ac:dyDescent="0.3">
      <c r="A59" s="56" t="s">
        <v>133</v>
      </c>
      <c r="B59" s="61"/>
      <c r="C59" s="52"/>
      <c r="D59" s="53" t="s">
        <v>109</v>
      </c>
      <c r="E59" s="62"/>
      <c r="F59" s="68">
        <f t="shared" si="1"/>
        <v>0</v>
      </c>
    </row>
    <row r="60" spans="1:6" ht="15.75" thickBot="1" x14ac:dyDescent="0.3">
      <c r="A60" s="56" t="s">
        <v>134</v>
      </c>
      <c r="B60" s="61"/>
      <c r="C60" s="52"/>
      <c r="D60" s="53" t="s">
        <v>109</v>
      </c>
      <c r="E60" s="62"/>
      <c r="F60" s="67">
        <f t="shared" si="1"/>
        <v>0</v>
      </c>
    </row>
    <row r="61" spans="1:6" ht="15.75" thickBot="1" x14ac:dyDescent="0.3">
      <c r="A61" s="56" t="s">
        <v>135</v>
      </c>
      <c r="B61" s="61"/>
      <c r="C61" s="52"/>
      <c r="D61" s="53" t="s">
        <v>109</v>
      </c>
      <c r="E61" s="62"/>
      <c r="F61" s="68">
        <f t="shared" si="1"/>
        <v>0</v>
      </c>
    </row>
    <row r="62" spans="1:6" ht="15.75" thickBot="1" x14ac:dyDescent="0.3">
      <c r="A62" s="56" t="s">
        <v>136</v>
      </c>
      <c r="B62" s="61"/>
      <c r="C62" s="52"/>
      <c r="D62" s="53" t="s">
        <v>109</v>
      </c>
      <c r="E62" s="62"/>
      <c r="F62" s="67">
        <f t="shared" si="1"/>
        <v>0</v>
      </c>
    </row>
    <row r="63" spans="1:6" ht="15.75" thickBot="1" x14ac:dyDescent="0.3">
      <c r="A63" s="56" t="s">
        <v>137</v>
      </c>
      <c r="B63" s="61"/>
      <c r="C63" s="52"/>
      <c r="D63" s="53" t="s">
        <v>109</v>
      </c>
      <c r="E63" s="62"/>
      <c r="F63" s="68">
        <f t="shared" si="1"/>
        <v>0</v>
      </c>
    </row>
    <row r="64" spans="1:6" ht="15.75" thickBot="1" x14ac:dyDescent="0.3">
      <c r="A64" s="56" t="s">
        <v>138</v>
      </c>
      <c r="B64" s="61"/>
      <c r="C64" s="52"/>
      <c r="D64" s="53" t="s">
        <v>109</v>
      </c>
      <c r="E64" s="62"/>
      <c r="F64" s="67">
        <f t="shared" si="1"/>
        <v>0</v>
      </c>
    </row>
    <row r="65" spans="1:6" ht="15.75" thickBot="1" x14ac:dyDescent="0.3">
      <c r="A65" s="69" t="s">
        <v>139</v>
      </c>
      <c r="B65" s="70"/>
      <c r="C65" s="71"/>
      <c r="D65" s="72" t="s">
        <v>109</v>
      </c>
      <c r="E65" s="73"/>
      <c r="F65" s="68">
        <f t="shared" si="1"/>
        <v>0</v>
      </c>
    </row>
    <row r="66" spans="1:6" ht="15.75" thickBot="1" x14ac:dyDescent="0.3">
      <c r="A66" s="47" t="s">
        <v>140</v>
      </c>
      <c r="B66" s="54"/>
      <c r="C66" s="52"/>
      <c r="D66" s="53" t="s">
        <v>109</v>
      </c>
      <c r="E66" s="55"/>
      <c r="F66" s="68">
        <f t="shared" si="1"/>
        <v>0</v>
      </c>
    </row>
    <row r="67" spans="1:6" ht="15.75" thickBot="1" x14ac:dyDescent="0.3">
      <c r="A67" s="47" t="s">
        <v>141</v>
      </c>
      <c r="B67" s="46"/>
      <c r="C67" s="45"/>
      <c r="D67" s="65" t="s">
        <v>109</v>
      </c>
      <c r="E67" s="45"/>
      <c r="F67" s="68">
        <f t="shared" si="1"/>
        <v>0</v>
      </c>
    </row>
    <row r="68" spans="1:6" ht="15.75" thickBot="1" x14ac:dyDescent="0.3"/>
    <row r="69" spans="1:6" ht="15.75" thickBot="1" x14ac:dyDescent="0.3">
      <c r="A69" s="130" t="s">
        <v>142</v>
      </c>
      <c r="B69" s="131"/>
      <c r="C69" s="131"/>
      <c r="D69" s="131"/>
      <c r="E69" s="131"/>
      <c r="F69" s="131"/>
    </row>
    <row r="70" spans="1:6" ht="15.75" thickBot="1" x14ac:dyDescent="0.3">
      <c r="A70" s="44" t="s">
        <v>66</v>
      </c>
      <c r="B70" s="44" t="s">
        <v>108</v>
      </c>
      <c r="C70" s="44" t="s">
        <v>107</v>
      </c>
      <c r="D70" s="44" t="s">
        <v>67</v>
      </c>
      <c r="E70" s="44" t="s">
        <v>106</v>
      </c>
      <c r="F70" s="49" t="s">
        <v>68</v>
      </c>
    </row>
    <row r="71" spans="1:6" ht="15.75" thickBot="1" x14ac:dyDescent="0.3">
      <c r="A71" s="56" t="s">
        <v>143</v>
      </c>
      <c r="B71" s="58"/>
      <c r="C71" s="48"/>
      <c r="D71" s="59" t="s">
        <v>109</v>
      </c>
      <c r="E71" s="60"/>
      <c r="F71" s="68">
        <f>IF(D71="DASHCLUSTER classic V1",(E71*$L$8)-B71+C71,IF(D71="DASHCLUSTER premium V1",(E71*$P$8)-B71+C71,IF(D71="Bez prodejů",-B71+C71,"")))</f>
        <v>0</v>
      </c>
    </row>
    <row r="72" spans="1:6" ht="15.75" thickBot="1" x14ac:dyDescent="0.3">
      <c r="A72" s="56" t="s">
        <v>144</v>
      </c>
      <c r="B72" s="61"/>
      <c r="C72" s="52"/>
      <c r="D72" s="53" t="s">
        <v>109</v>
      </c>
      <c r="E72" s="62"/>
      <c r="F72" s="67">
        <f>IF(D72="DASHCLUSTER classic V1",(E72*$L$8)-B72+C72,IF(D72="DASHCLUSTER premium V1",(E72*$P$8)-B72+C72,IF(D72="Bez prodejů",-B72+C72,"")))</f>
        <v>0</v>
      </c>
    </row>
    <row r="73" spans="1:6" ht="15.75" thickBot="1" x14ac:dyDescent="0.3">
      <c r="A73" s="56" t="s">
        <v>145</v>
      </c>
      <c r="B73" s="61"/>
      <c r="C73" s="52"/>
      <c r="D73" s="53" t="s">
        <v>109</v>
      </c>
      <c r="E73" s="62"/>
      <c r="F73" s="68">
        <f t="shared" ref="F73:F100" si="2">IF(D73="DASHCLUSTER classic V1",(E73*$L$8)-B73+C73,IF(D73="DASHCLUSTER premium V1",(E73*$P$8)-B73+C73,IF(D73="Bez prodejů",-B73+C73,"")))</f>
        <v>0</v>
      </c>
    </row>
    <row r="74" spans="1:6" ht="15.75" thickBot="1" x14ac:dyDescent="0.3">
      <c r="A74" s="56" t="s">
        <v>146</v>
      </c>
      <c r="B74" s="61"/>
      <c r="C74" s="52"/>
      <c r="D74" s="53" t="s">
        <v>109</v>
      </c>
      <c r="E74" s="62"/>
      <c r="F74" s="67">
        <f t="shared" si="2"/>
        <v>0</v>
      </c>
    </row>
    <row r="75" spans="1:6" ht="15.75" thickBot="1" x14ac:dyDescent="0.3">
      <c r="A75" s="56" t="s">
        <v>147</v>
      </c>
      <c r="B75" s="61"/>
      <c r="C75" s="52"/>
      <c r="D75" s="53" t="s">
        <v>109</v>
      </c>
      <c r="E75" s="62"/>
      <c r="F75" s="68">
        <f t="shared" si="2"/>
        <v>0</v>
      </c>
    </row>
    <row r="76" spans="1:6" ht="15.75" thickBot="1" x14ac:dyDescent="0.3">
      <c r="A76" s="56" t="s">
        <v>148</v>
      </c>
      <c r="B76" s="61"/>
      <c r="C76" s="52"/>
      <c r="D76" s="53" t="s">
        <v>109</v>
      </c>
      <c r="E76" s="62"/>
      <c r="F76" s="67">
        <f t="shared" si="2"/>
        <v>0</v>
      </c>
    </row>
    <row r="77" spans="1:6" ht="15.75" thickBot="1" x14ac:dyDescent="0.3">
      <c r="A77" s="56" t="s">
        <v>149</v>
      </c>
      <c r="B77" s="61"/>
      <c r="C77" s="52"/>
      <c r="D77" s="53" t="s">
        <v>109</v>
      </c>
      <c r="E77" s="62"/>
      <c r="F77" s="68">
        <f t="shared" si="2"/>
        <v>0</v>
      </c>
    </row>
    <row r="78" spans="1:6" ht="15.75" thickBot="1" x14ac:dyDescent="0.3">
      <c r="A78" s="56" t="s">
        <v>150</v>
      </c>
      <c r="B78" s="61"/>
      <c r="C78" s="52"/>
      <c r="D78" s="53" t="s">
        <v>109</v>
      </c>
      <c r="E78" s="62"/>
      <c r="F78" s="67">
        <f t="shared" si="2"/>
        <v>0</v>
      </c>
    </row>
    <row r="79" spans="1:6" ht="15.75" thickBot="1" x14ac:dyDescent="0.3">
      <c r="A79" s="56" t="s">
        <v>151</v>
      </c>
      <c r="B79" s="61"/>
      <c r="C79" s="52"/>
      <c r="D79" s="53" t="s">
        <v>109</v>
      </c>
      <c r="E79" s="62"/>
      <c r="F79" s="68">
        <f t="shared" si="2"/>
        <v>0</v>
      </c>
    </row>
    <row r="80" spans="1:6" ht="15.75" thickBot="1" x14ac:dyDescent="0.3">
      <c r="A80" s="56" t="s">
        <v>152</v>
      </c>
      <c r="B80" s="61"/>
      <c r="C80" s="52"/>
      <c r="D80" s="53" t="s">
        <v>109</v>
      </c>
      <c r="E80" s="62"/>
      <c r="F80" s="67">
        <f t="shared" si="2"/>
        <v>0</v>
      </c>
    </row>
    <row r="81" spans="1:6" ht="15.75" thickBot="1" x14ac:dyDescent="0.3">
      <c r="A81" s="56" t="s">
        <v>153</v>
      </c>
      <c r="B81" s="61"/>
      <c r="C81" s="52"/>
      <c r="D81" s="53" t="s">
        <v>109</v>
      </c>
      <c r="E81" s="62"/>
      <c r="F81" s="68">
        <f t="shared" si="2"/>
        <v>0</v>
      </c>
    </row>
    <row r="82" spans="1:6" ht="15.75" thickBot="1" x14ac:dyDescent="0.3">
      <c r="A82" s="56" t="s">
        <v>154</v>
      </c>
      <c r="B82" s="61"/>
      <c r="C82" s="52"/>
      <c r="D82" s="53" t="s">
        <v>109</v>
      </c>
      <c r="E82" s="62"/>
      <c r="F82" s="67">
        <f t="shared" si="2"/>
        <v>0</v>
      </c>
    </row>
    <row r="83" spans="1:6" ht="15.75" thickBot="1" x14ac:dyDescent="0.3">
      <c r="A83" s="56" t="s">
        <v>155</v>
      </c>
      <c r="B83" s="61"/>
      <c r="C83" s="52"/>
      <c r="D83" s="53" t="s">
        <v>109</v>
      </c>
      <c r="E83" s="62"/>
      <c r="F83" s="68">
        <f t="shared" si="2"/>
        <v>0</v>
      </c>
    </row>
    <row r="84" spans="1:6" ht="15.75" thickBot="1" x14ac:dyDescent="0.3">
      <c r="A84" s="56" t="s">
        <v>156</v>
      </c>
      <c r="B84" s="61"/>
      <c r="C84" s="52"/>
      <c r="D84" s="53" t="s">
        <v>109</v>
      </c>
      <c r="E84" s="62"/>
      <c r="F84" s="67">
        <f t="shared" si="2"/>
        <v>0</v>
      </c>
    </row>
    <row r="85" spans="1:6" ht="15.75" thickBot="1" x14ac:dyDescent="0.3">
      <c r="A85" s="56" t="s">
        <v>157</v>
      </c>
      <c r="B85" s="61"/>
      <c r="C85" s="52"/>
      <c r="D85" s="53" t="s">
        <v>109</v>
      </c>
      <c r="E85" s="62"/>
      <c r="F85" s="68">
        <f t="shared" si="2"/>
        <v>0</v>
      </c>
    </row>
    <row r="86" spans="1:6" ht="15.75" thickBot="1" x14ac:dyDescent="0.3">
      <c r="A86" s="56" t="s">
        <v>158</v>
      </c>
      <c r="B86" s="61"/>
      <c r="C86" s="52"/>
      <c r="D86" s="53" t="s">
        <v>109</v>
      </c>
      <c r="E86" s="62"/>
      <c r="F86" s="67">
        <f t="shared" si="2"/>
        <v>0</v>
      </c>
    </row>
    <row r="87" spans="1:6" ht="15.75" thickBot="1" x14ac:dyDescent="0.3">
      <c r="A87" s="56" t="s">
        <v>159</v>
      </c>
      <c r="B87" s="61"/>
      <c r="C87" s="52"/>
      <c r="D87" s="53" t="s">
        <v>109</v>
      </c>
      <c r="E87" s="62"/>
      <c r="F87" s="68">
        <f t="shared" si="2"/>
        <v>0</v>
      </c>
    </row>
    <row r="88" spans="1:6" ht="15.75" thickBot="1" x14ac:dyDescent="0.3">
      <c r="A88" s="56" t="s">
        <v>160</v>
      </c>
      <c r="B88" s="61"/>
      <c r="C88" s="52"/>
      <c r="D88" s="53" t="s">
        <v>109</v>
      </c>
      <c r="E88" s="62"/>
      <c r="F88" s="67">
        <f t="shared" si="2"/>
        <v>0</v>
      </c>
    </row>
    <row r="89" spans="1:6" ht="15.75" thickBot="1" x14ac:dyDescent="0.3">
      <c r="A89" s="56" t="s">
        <v>161</v>
      </c>
      <c r="B89" s="61"/>
      <c r="C89" s="52"/>
      <c r="D89" s="53" t="s">
        <v>109</v>
      </c>
      <c r="E89" s="62"/>
      <c r="F89" s="68">
        <f t="shared" si="2"/>
        <v>0</v>
      </c>
    </row>
    <row r="90" spans="1:6" ht="15.75" thickBot="1" x14ac:dyDescent="0.3">
      <c r="A90" s="56" t="s">
        <v>162</v>
      </c>
      <c r="B90" s="61"/>
      <c r="C90" s="52"/>
      <c r="D90" s="53" t="s">
        <v>109</v>
      </c>
      <c r="E90" s="62"/>
      <c r="F90" s="67">
        <f t="shared" si="2"/>
        <v>0</v>
      </c>
    </row>
    <row r="91" spans="1:6" ht="15.75" thickBot="1" x14ac:dyDescent="0.3">
      <c r="A91" s="56" t="s">
        <v>163</v>
      </c>
      <c r="B91" s="61"/>
      <c r="C91" s="52"/>
      <c r="D91" s="53" t="s">
        <v>109</v>
      </c>
      <c r="E91" s="62"/>
      <c r="F91" s="68">
        <f t="shared" si="2"/>
        <v>0</v>
      </c>
    </row>
    <row r="92" spans="1:6" ht="15.75" thickBot="1" x14ac:dyDescent="0.3">
      <c r="A92" s="56" t="s">
        <v>164</v>
      </c>
      <c r="B92" s="61"/>
      <c r="C92" s="52"/>
      <c r="D92" s="53" t="s">
        <v>109</v>
      </c>
      <c r="E92" s="62"/>
      <c r="F92" s="67">
        <f t="shared" si="2"/>
        <v>0</v>
      </c>
    </row>
    <row r="93" spans="1:6" ht="15.75" thickBot="1" x14ac:dyDescent="0.3">
      <c r="A93" s="56" t="s">
        <v>165</v>
      </c>
      <c r="B93" s="61"/>
      <c r="C93" s="52"/>
      <c r="D93" s="53" t="s">
        <v>109</v>
      </c>
      <c r="E93" s="62"/>
      <c r="F93" s="68">
        <f t="shared" si="2"/>
        <v>0</v>
      </c>
    </row>
    <row r="94" spans="1:6" ht="15.75" thickBot="1" x14ac:dyDescent="0.3">
      <c r="A94" s="56" t="s">
        <v>166</v>
      </c>
      <c r="B94" s="61"/>
      <c r="C94" s="52"/>
      <c r="D94" s="53" t="s">
        <v>109</v>
      </c>
      <c r="E94" s="62"/>
      <c r="F94" s="67">
        <f t="shared" si="2"/>
        <v>0</v>
      </c>
    </row>
    <row r="95" spans="1:6" ht="15.75" thickBot="1" x14ac:dyDescent="0.3">
      <c r="A95" s="56" t="s">
        <v>167</v>
      </c>
      <c r="B95" s="61"/>
      <c r="C95" s="52"/>
      <c r="D95" s="53" t="s">
        <v>109</v>
      </c>
      <c r="E95" s="62"/>
      <c r="F95" s="68">
        <f t="shared" si="2"/>
        <v>0</v>
      </c>
    </row>
    <row r="96" spans="1:6" ht="15.75" thickBot="1" x14ac:dyDescent="0.3">
      <c r="A96" s="56" t="s">
        <v>168</v>
      </c>
      <c r="B96" s="61"/>
      <c r="C96" s="52"/>
      <c r="D96" s="53" t="s">
        <v>109</v>
      </c>
      <c r="E96" s="62"/>
      <c r="F96" s="67">
        <f t="shared" si="2"/>
        <v>0</v>
      </c>
    </row>
    <row r="97" spans="1:6" ht="15.75" thickBot="1" x14ac:dyDescent="0.3">
      <c r="A97" s="56" t="s">
        <v>169</v>
      </c>
      <c r="B97" s="61"/>
      <c r="C97" s="52"/>
      <c r="D97" s="53" t="s">
        <v>109</v>
      </c>
      <c r="E97" s="62"/>
      <c r="F97" s="68">
        <f t="shared" si="2"/>
        <v>0</v>
      </c>
    </row>
    <row r="98" spans="1:6" ht="15.75" thickBot="1" x14ac:dyDescent="0.3">
      <c r="A98" s="56" t="s">
        <v>170</v>
      </c>
      <c r="B98" s="61"/>
      <c r="C98" s="52"/>
      <c r="D98" s="53" t="s">
        <v>109</v>
      </c>
      <c r="E98" s="62"/>
      <c r="F98" s="67">
        <f t="shared" si="2"/>
        <v>0</v>
      </c>
    </row>
    <row r="99" spans="1:6" ht="15.75" thickBot="1" x14ac:dyDescent="0.3">
      <c r="A99" s="56" t="s">
        <v>171</v>
      </c>
      <c r="B99" s="61"/>
      <c r="C99" s="52"/>
      <c r="D99" s="53" t="s">
        <v>109</v>
      </c>
      <c r="E99" s="62"/>
      <c r="F99" s="68">
        <f t="shared" si="2"/>
        <v>0</v>
      </c>
    </row>
    <row r="100" spans="1:6" ht="15.75" thickBot="1" x14ac:dyDescent="0.3">
      <c r="A100" s="56" t="s">
        <v>172</v>
      </c>
      <c r="B100" s="63"/>
      <c r="C100" s="64"/>
      <c r="D100" s="65" t="s">
        <v>109</v>
      </c>
      <c r="E100" s="66"/>
      <c r="F100" s="67">
        <f t="shared" si="2"/>
        <v>0</v>
      </c>
    </row>
    <row r="101" spans="1:6" ht="15.75" thickBot="1" x14ac:dyDescent="0.3"/>
    <row r="102" spans="1:6" ht="15.75" thickBot="1" x14ac:dyDescent="0.3">
      <c r="A102" s="130" t="s">
        <v>173</v>
      </c>
      <c r="B102" s="131"/>
      <c r="C102" s="131"/>
      <c r="D102" s="131"/>
      <c r="E102" s="131"/>
      <c r="F102" s="131"/>
    </row>
    <row r="103" spans="1:6" ht="15.75" thickBot="1" x14ac:dyDescent="0.3">
      <c r="A103" s="44" t="s">
        <v>66</v>
      </c>
      <c r="B103" s="44" t="s">
        <v>108</v>
      </c>
      <c r="C103" s="44" t="s">
        <v>107</v>
      </c>
      <c r="D103" s="44" t="s">
        <v>67</v>
      </c>
      <c r="E103" s="44" t="s">
        <v>106</v>
      </c>
      <c r="F103" s="49" t="s">
        <v>68</v>
      </c>
    </row>
    <row r="104" spans="1:6" ht="15.75" thickBot="1" x14ac:dyDescent="0.3">
      <c r="A104" s="56" t="s">
        <v>174</v>
      </c>
      <c r="B104" s="58"/>
      <c r="C104" s="48"/>
      <c r="D104" s="59" t="s">
        <v>109</v>
      </c>
      <c r="E104" s="60"/>
      <c r="F104" s="68">
        <f>IF(D104="DASHCLUSTER classic V1",(E104*$L$8)-B104+C104,IF(D104="DASHCLUSTER premium V1",(E104*$P$8)-B104+C104,IF(D104="Bez prodejů",-B104+C104,"")))</f>
        <v>0</v>
      </c>
    </row>
    <row r="105" spans="1:6" ht="15.75" thickBot="1" x14ac:dyDescent="0.3">
      <c r="A105" s="56" t="s">
        <v>175</v>
      </c>
      <c r="B105" s="61"/>
      <c r="C105" s="52"/>
      <c r="D105" s="53" t="s">
        <v>109</v>
      </c>
      <c r="E105" s="62"/>
      <c r="F105" s="67">
        <f>IF(D105="DASHCLUSTER classic V1",(E105*$L$8)-B105+C105,IF(D105="DASHCLUSTER premium V1",(E105*$P$8)-B105+C105,IF(D105="Bez prodejů",-B105+C105,"")))</f>
        <v>0</v>
      </c>
    </row>
    <row r="106" spans="1:6" ht="15.75" thickBot="1" x14ac:dyDescent="0.3">
      <c r="A106" s="56" t="s">
        <v>176</v>
      </c>
      <c r="B106" s="61"/>
      <c r="C106" s="52"/>
      <c r="D106" s="53" t="s">
        <v>109</v>
      </c>
      <c r="E106" s="62"/>
      <c r="F106" s="68">
        <f t="shared" ref="F106:F134" si="3">IF(D106="DASHCLUSTER classic V1",(E106*$L$8)-B106+C106,IF(D106="DASHCLUSTER premium V1",(E106*$P$8)-B106+C106,IF(D106="Bez prodejů",-B106+C106,"")))</f>
        <v>0</v>
      </c>
    </row>
    <row r="107" spans="1:6" ht="15.75" thickBot="1" x14ac:dyDescent="0.3">
      <c r="A107" s="56" t="s">
        <v>177</v>
      </c>
      <c r="B107" s="61"/>
      <c r="C107" s="52"/>
      <c r="D107" s="53" t="s">
        <v>109</v>
      </c>
      <c r="E107" s="62"/>
      <c r="F107" s="67">
        <f t="shared" si="3"/>
        <v>0</v>
      </c>
    </row>
    <row r="108" spans="1:6" ht="15.75" thickBot="1" x14ac:dyDescent="0.3">
      <c r="A108" s="56" t="s">
        <v>178</v>
      </c>
      <c r="B108" s="61"/>
      <c r="C108" s="52"/>
      <c r="D108" s="53" t="s">
        <v>109</v>
      </c>
      <c r="E108" s="62"/>
      <c r="F108" s="68">
        <f t="shared" si="3"/>
        <v>0</v>
      </c>
    </row>
    <row r="109" spans="1:6" ht="15.75" thickBot="1" x14ac:dyDescent="0.3">
      <c r="A109" s="56" t="s">
        <v>179</v>
      </c>
      <c r="B109" s="61"/>
      <c r="C109" s="52"/>
      <c r="D109" s="53" t="s">
        <v>109</v>
      </c>
      <c r="E109" s="62"/>
      <c r="F109" s="67">
        <f t="shared" si="3"/>
        <v>0</v>
      </c>
    </row>
    <row r="110" spans="1:6" ht="15.75" thickBot="1" x14ac:dyDescent="0.3">
      <c r="A110" s="56" t="s">
        <v>180</v>
      </c>
      <c r="B110" s="61"/>
      <c r="C110" s="52"/>
      <c r="D110" s="53" t="s">
        <v>109</v>
      </c>
      <c r="E110" s="62"/>
      <c r="F110" s="68">
        <f t="shared" si="3"/>
        <v>0</v>
      </c>
    </row>
    <row r="111" spans="1:6" ht="15.75" thickBot="1" x14ac:dyDescent="0.3">
      <c r="A111" s="56" t="s">
        <v>181</v>
      </c>
      <c r="B111" s="61"/>
      <c r="C111" s="52"/>
      <c r="D111" s="53" t="s">
        <v>109</v>
      </c>
      <c r="E111" s="62"/>
      <c r="F111" s="67">
        <f t="shared" si="3"/>
        <v>0</v>
      </c>
    </row>
    <row r="112" spans="1:6" ht="15.75" thickBot="1" x14ac:dyDescent="0.3">
      <c r="A112" s="56" t="s">
        <v>182</v>
      </c>
      <c r="B112" s="61"/>
      <c r="C112" s="52"/>
      <c r="D112" s="53" t="s">
        <v>109</v>
      </c>
      <c r="E112" s="62"/>
      <c r="F112" s="68">
        <f t="shared" si="3"/>
        <v>0</v>
      </c>
    </row>
    <row r="113" spans="1:6" ht="15.75" thickBot="1" x14ac:dyDescent="0.3">
      <c r="A113" s="56" t="s">
        <v>183</v>
      </c>
      <c r="B113" s="61"/>
      <c r="C113" s="52"/>
      <c r="D113" s="53" t="s">
        <v>109</v>
      </c>
      <c r="E113" s="62"/>
      <c r="F113" s="67">
        <f t="shared" si="3"/>
        <v>0</v>
      </c>
    </row>
    <row r="114" spans="1:6" ht="15.75" thickBot="1" x14ac:dyDescent="0.3">
      <c r="A114" s="56" t="s">
        <v>184</v>
      </c>
      <c r="B114" s="61"/>
      <c r="C114" s="52"/>
      <c r="D114" s="53" t="s">
        <v>109</v>
      </c>
      <c r="E114" s="62"/>
      <c r="F114" s="68">
        <f t="shared" si="3"/>
        <v>0</v>
      </c>
    </row>
    <row r="115" spans="1:6" ht="15.75" thickBot="1" x14ac:dyDescent="0.3">
      <c r="A115" s="56" t="s">
        <v>185</v>
      </c>
      <c r="B115" s="61"/>
      <c r="C115" s="52"/>
      <c r="D115" s="53" t="s">
        <v>109</v>
      </c>
      <c r="E115" s="62"/>
      <c r="F115" s="67">
        <f t="shared" si="3"/>
        <v>0</v>
      </c>
    </row>
    <row r="116" spans="1:6" ht="15.75" thickBot="1" x14ac:dyDescent="0.3">
      <c r="A116" s="56" t="s">
        <v>186</v>
      </c>
      <c r="B116" s="61"/>
      <c r="C116" s="52"/>
      <c r="D116" s="53" t="s">
        <v>109</v>
      </c>
      <c r="E116" s="62"/>
      <c r="F116" s="68">
        <f t="shared" si="3"/>
        <v>0</v>
      </c>
    </row>
    <row r="117" spans="1:6" ht="15.75" thickBot="1" x14ac:dyDescent="0.3">
      <c r="A117" s="56" t="s">
        <v>187</v>
      </c>
      <c r="B117" s="61"/>
      <c r="C117" s="52"/>
      <c r="D117" s="53" t="s">
        <v>109</v>
      </c>
      <c r="E117" s="62"/>
      <c r="F117" s="67">
        <f t="shared" si="3"/>
        <v>0</v>
      </c>
    </row>
    <row r="118" spans="1:6" ht="15.75" thickBot="1" x14ac:dyDescent="0.3">
      <c r="A118" s="56" t="s">
        <v>188</v>
      </c>
      <c r="B118" s="61"/>
      <c r="C118" s="52"/>
      <c r="D118" s="53" t="s">
        <v>109</v>
      </c>
      <c r="E118" s="62"/>
      <c r="F118" s="68">
        <f t="shared" si="3"/>
        <v>0</v>
      </c>
    </row>
    <row r="119" spans="1:6" ht="15.75" thickBot="1" x14ac:dyDescent="0.3">
      <c r="A119" s="56" t="s">
        <v>189</v>
      </c>
      <c r="B119" s="61"/>
      <c r="C119" s="52"/>
      <c r="D119" s="53" t="s">
        <v>109</v>
      </c>
      <c r="E119" s="62"/>
      <c r="F119" s="67">
        <f t="shared" si="3"/>
        <v>0</v>
      </c>
    </row>
    <row r="120" spans="1:6" ht="15.75" thickBot="1" x14ac:dyDescent="0.3">
      <c r="A120" s="56" t="s">
        <v>190</v>
      </c>
      <c r="B120" s="61"/>
      <c r="C120" s="52"/>
      <c r="D120" s="53" t="s">
        <v>109</v>
      </c>
      <c r="E120" s="62"/>
      <c r="F120" s="68">
        <f t="shared" si="3"/>
        <v>0</v>
      </c>
    </row>
    <row r="121" spans="1:6" ht="15.75" thickBot="1" x14ac:dyDescent="0.3">
      <c r="A121" s="56" t="s">
        <v>191</v>
      </c>
      <c r="B121" s="61"/>
      <c r="C121" s="52"/>
      <c r="D121" s="53" t="s">
        <v>109</v>
      </c>
      <c r="E121" s="62"/>
      <c r="F121" s="67">
        <f t="shared" si="3"/>
        <v>0</v>
      </c>
    </row>
    <row r="122" spans="1:6" ht="15.75" thickBot="1" x14ac:dyDescent="0.3">
      <c r="A122" s="56" t="s">
        <v>192</v>
      </c>
      <c r="B122" s="61"/>
      <c r="C122" s="52"/>
      <c r="D122" s="53" t="s">
        <v>109</v>
      </c>
      <c r="E122" s="62"/>
      <c r="F122" s="68">
        <f t="shared" si="3"/>
        <v>0</v>
      </c>
    </row>
    <row r="123" spans="1:6" ht="15.75" thickBot="1" x14ac:dyDescent="0.3">
      <c r="A123" s="56" t="s">
        <v>193</v>
      </c>
      <c r="B123" s="61"/>
      <c r="C123" s="52"/>
      <c r="D123" s="53" t="s">
        <v>109</v>
      </c>
      <c r="E123" s="62"/>
      <c r="F123" s="67">
        <f t="shared" si="3"/>
        <v>0</v>
      </c>
    </row>
    <row r="124" spans="1:6" ht="15.75" thickBot="1" x14ac:dyDescent="0.3">
      <c r="A124" s="56" t="s">
        <v>194</v>
      </c>
      <c r="B124" s="61"/>
      <c r="C124" s="52"/>
      <c r="D124" s="53" t="s">
        <v>109</v>
      </c>
      <c r="E124" s="62"/>
      <c r="F124" s="68">
        <f t="shared" si="3"/>
        <v>0</v>
      </c>
    </row>
    <row r="125" spans="1:6" ht="15.75" thickBot="1" x14ac:dyDescent="0.3">
      <c r="A125" s="56" t="s">
        <v>195</v>
      </c>
      <c r="B125" s="61"/>
      <c r="C125" s="52"/>
      <c r="D125" s="53" t="s">
        <v>109</v>
      </c>
      <c r="E125" s="62"/>
      <c r="F125" s="67">
        <f t="shared" si="3"/>
        <v>0</v>
      </c>
    </row>
    <row r="126" spans="1:6" ht="15.75" thickBot="1" x14ac:dyDescent="0.3">
      <c r="A126" s="56" t="s">
        <v>196</v>
      </c>
      <c r="B126" s="61"/>
      <c r="C126" s="52"/>
      <c r="D126" s="53" t="s">
        <v>109</v>
      </c>
      <c r="E126" s="62"/>
      <c r="F126" s="68">
        <f t="shared" si="3"/>
        <v>0</v>
      </c>
    </row>
    <row r="127" spans="1:6" ht="15.75" thickBot="1" x14ac:dyDescent="0.3">
      <c r="A127" s="56" t="s">
        <v>197</v>
      </c>
      <c r="B127" s="61"/>
      <c r="C127" s="52"/>
      <c r="D127" s="53" t="s">
        <v>109</v>
      </c>
      <c r="E127" s="62"/>
      <c r="F127" s="67">
        <f t="shared" si="3"/>
        <v>0</v>
      </c>
    </row>
    <row r="128" spans="1:6" ht="15.75" thickBot="1" x14ac:dyDescent="0.3">
      <c r="A128" s="56" t="s">
        <v>198</v>
      </c>
      <c r="B128" s="61"/>
      <c r="C128" s="52"/>
      <c r="D128" s="53" t="s">
        <v>109</v>
      </c>
      <c r="E128" s="62"/>
      <c r="F128" s="68">
        <f t="shared" si="3"/>
        <v>0</v>
      </c>
    </row>
    <row r="129" spans="1:6" ht="15.75" thickBot="1" x14ac:dyDescent="0.3">
      <c r="A129" s="56" t="s">
        <v>199</v>
      </c>
      <c r="B129" s="61"/>
      <c r="C129" s="52"/>
      <c r="D129" s="53" t="s">
        <v>109</v>
      </c>
      <c r="E129" s="62"/>
      <c r="F129" s="67">
        <f t="shared" si="3"/>
        <v>0</v>
      </c>
    </row>
    <row r="130" spans="1:6" ht="15.75" thickBot="1" x14ac:dyDescent="0.3">
      <c r="A130" s="56" t="s">
        <v>200</v>
      </c>
      <c r="B130" s="61"/>
      <c r="C130" s="52"/>
      <c r="D130" s="53" t="s">
        <v>109</v>
      </c>
      <c r="E130" s="62"/>
      <c r="F130" s="68">
        <f t="shared" si="3"/>
        <v>0</v>
      </c>
    </row>
    <row r="131" spans="1:6" ht="15.75" thickBot="1" x14ac:dyDescent="0.3">
      <c r="A131" s="56" t="s">
        <v>201</v>
      </c>
      <c r="B131" s="61"/>
      <c r="C131" s="52"/>
      <c r="D131" s="53" t="s">
        <v>109</v>
      </c>
      <c r="E131" s="62"/>
      <c r="F131" s="67">
        <f t="shared" si="3"/>
        <v>0</v>
      </c>
    </row>
    <row r="132" spans="1:6" ht="15.75" thickBot="1" x14ac:dyDescent="0.3">
      <c r="A132" s="56" t="s">
        <v>202</v>
      </c>
      <c r="B132" s="70"/>
      <c r="C132" s="71"/>
      <c r="D132" s="72" t="s">
        <v>109</v>
      </c>
      <c r="E132" s="73"/>
      <c r="F132" s="68">
        <f t="shared" si="3"/>
        <v>0</v>
      </c>
    </row>
    <row r="133" spans="1:6" ht="15.75" thickBot="1" x14ac:dyDescent="0.3">
      <c r="A133" s="47" t="s">
        <v>203</v>
      </c>
      <c r="B133" s="54"/>
      <c r="C133" s="52"/>
      <c r="D133" s="53" t="s">
        <v>109</v>
      </c>
      <c r="E133" s="55"/>
      <c r="F133" s="68">
        <f t="shared" si="3"/>
        <v>0</v>
      </c>
    </row>
    <row r="134" spans="1:6" ht="15.75" thickBot="1" x14ac:dyDescent="0.3">
      <c r="A134" s="47" t="s">
        <v>204</v>
      </c>
      <c r="B134" s="46"/>
      <c r="C134" s="45"/>
      <c r="D134" s="65" t="s">
        <v>109</v>
      </c>
      <c r="E134" s="45"/>
      <c r="F134" s="68">
        <f t="shared" si="3"/>
        <v>0</v>
      </c>
    </row>
    <row r="135" spans="1:6" ht="15.75" thickBot="1" x14ac:dyDescent="0.3"/>
    <row r="136" spans="1:6" ht="15.75" thickBot="1" x14ac:dyDescent="0.3">
      <c r="A136" s="130" t="s">
        <v>205</v>
      </c>
      <c r="B136" s="131"/>
      <c r="C136" s="131"/>
      <c r="D136" s="131"/>
      <c r="E136" s="131"/>
      <c r="F136" s="131"/>
    </row>
    <row r="137" spans="1:6" ht="15.75" thickBot="1" x14ac:dyDescent="0.3">
      <c r="A137" s="44" t="s">
        <v>66</v>
      </c>
      <c r="B137" s="44" t="s">
        <v>108</v>
      </c>
      <c r="C137" s="44" t="s">
        <v>107</v>
      </c>
      <c r="D137" s="44" t="s">
        <v>67</v>
      </c>
      <c r="E137" s="44" t="s">
        <v>106</v>
      </c>
      <c r="F137" s="49" t="s">
        <v>68</v>
      </c>
    </row>
    <row r="138" spans="1:6" ht="15.75" thickBot="1" x14ac:dyDescent="0.3">
      <c r="A138" s="56" t="s">
        <v>206</v>
      </c>
      <c r="B138" s="58"/>
      <c r="C138" s="48"/>
      <c r="D138" s="59" t="s">
        <v>109</v>
      </c>
      <c r="E138" s="60"/>
      <c r="F138" s="68">
        <f>IF(D138="DASHCLUSTER classic V1",(E138*$L$8)-B138+C138,IF(D138="DASHCLUSTER premium V1",(E138*$P$8)-B138+C138,IF(D138="Bez prodejů",-B138+C138,"")))</f>
        <v>0</v>
      </c>
    </row>
    <row r="139" spans="1:6" ht="15.75" thickBot="1" x14ac:dyDescent="0.3">
      <c r="A139" s="56" t="s">
        <v>207</v>
      </c>
      <c r="B139" s="61"/>
      <c r="C139" s="52"/>
      <c r="D139" s="53" t="s">
        <v>109</v>
      </c>
      <c r="E139" s="62"/>
      <c r="F139" s="67">
        <f>IF(D139="DASHCLUSTER classic V1",(E139*$L$8)-B139+C139,IF(D139="DASHCLUSTER premium V1",(E139*$P$8)-B139+C139,IF(D139="Bez prodejů",-B139+C139,"")))</f>
        <v>0</v>
      </c>
    </row>
    <row r="140" spans="1:6" ht="15.75" thickBot="1" x14ac:dyDescent="0.3">
      <c r="A140" s="56" t="s">
        <v>208</v>
      </c>
      <c r="B140" s="61"/>
      <c r="C140" s="52"/>
      <c r="D140" s="53" t="s">
        <v>109</v>
      </c>
      <c r="E140" s="62"/>
      <c r="F140" s="68">
        <f t="shared" ref="F140:F168" si="4">IF(D140="DASHCLUSTER classic V1",(E140*$L$8)-B140+C140,IF(D140="DASHCLUSTER premium V1",(E140*$P$8)-B140+C140,IF(D140="Bez prodejů",-B140+C140,"")))</f>
        <v>0</v>
      </c>
    </row>
    <row r="141" spans="1:6" ht="15.75" thickBot="1" x14ac:dyDescent="0.3">
      <c r="A141" s="56" t="s">
        <v>209</v>
      </c>
      <c r="B141" s="61"/>
      <c r="C141" s="52"/>
      <c r="D141" s="53" t="s">
        <v>109</v>
      </c>
      <c r="E141" s="62"/>
      <c r="F141" s="67">
        <f t="shared" si="4"/>
        <v>0</v>
      </c>
    </row>
    <row r="142" spans="1:6" ht="15.75" thickBot="1" x14ac:dyDescent="0.3">
      <c r="A142" s="56" t="s">
        <v>210</v>
      </c>
      <c r="B142" s="61"/>
      <c r="C142" s="52"/>
      <c r="D142" s="53" t="s">
        <v>109</v>
      </c>
      <c r="E142" s="62"/>
      <c r="F142" s="68">
        <f t="shared" si="4"/>
        <v>0</v>
      </c>
    </row>
    <row r="143" spans="1:6" ht="15.75" thickBot="1" x14ac:dyDescent="0.3">
      <c r="A143" s="56" t="s">
        <v>211</v>
      </c>
      <c r="B143" s="61"/>
      <c r="C143" s="52"/>
      <c r="D143" s="53" t="s">
        <v>109</v>
      </c>
      <c r="E143" s="62"/>
      <c r="F143" s="67">
        <f t="shared" si="4"/>
        <v>0</v>
      </c>
    </row>
    <row r="144" spans="1:6" ht="15.75" thickBot="1" x14ac:dyDescent="0.3">
      <c r="A144" s="56" t="s">
        <v>212</v>
      </c>
      <c r="B144" s="61"/>
      <c r="C144" s="52"/>
      <c r="D144" s="53" t="s">
        <v>109</v>
      </c>
      <c r="E144" s="62"/>
      <c r="F144" s="68">
        <f t="shared" si="4"/>
        <v>0</v>
      </c>
    </row>
    <row r="145" spans="1:6" ht="15.75" thickBot="1" x14ac:dyDescent="0.3">
      <c r="A145" s="56" t="s">
        <v>213</v>
      </c>
      <c r="B145" s="61"/>
      <c r="C145" s="52"/>
      <c r="D145" s="53" t="s">
        <v>109</v>
      </c>
      <c r="E145" s="62"/>
      <c r="F145" s="67">
        <f t="shared" si="4"/>
        <v>0</v>
      </c>
    </row>
    <row r="146" spans="1:6" ht="15.75" thickBot="1" x14ac:dyDescent="0.3">
      <c r="A146" s="56" t="s">
        <v>214</v>
      </c>
      <c r="B146" s="61"/>
      <c r="C146" s="52"/>
      <c r="D146" s="53" t="s">
        <v>109</v>
      </c>
      <c r="E146" s="62"/>
      <c r="F146" s="68">
        <f t="shared" si="4"/>
        <v>0</v>
      </c>
    </row>
    <row r="147" spans="1:6" ht="15.75" thickBot="1" x14ac:dyDescent="0.3">
      <c r="A147" s="56" t="s">
        <v>215</v>
      </c>
      <c r="B147" s="61"/>
      <c r="C147" s="52"/>
      <c r="D147" s="53" t="s">
        <v>109</v>
      </c>
      <c r="E147" s="62"/>
      <c r="F147" s="67">
        <f t="shared" si="4"/>
        <v>0</v>
      </c>
    </row>
    <row r="148" spans="1:6" ht="15.75" thickBot="1" x14ac:dyDescent="0.3">
      <c r="A148" s="56" t="s">
        <v>216</v>
      </c>
      <c r="B148" s="61"/>
      <c r="C148" s="52"/>
      <c r="D148" s="53" t="s">
        <v>109</v>
      </c>
      <c r="E148" s="62"/>
      <c r="F148" s="68">
        <f t="shared" si="4"/>
        <v>0</v>
      </c>
    </row>
    <row r="149" spans="1:6" ht="15.75" thickBot="1" x14ac:dyDescent="0.3">
      <c r="A149" s="56" t="s">
        <v>217</v>
      </c>
      <c r="B149" s="61"/>
      <c r="C149" s="52"/>
      <c r="D149" s="53" t="s">
        <v>109</v>
      </c>
      <c r="E149" s="62"/>
      <c r="F149" s="67">
        <f t="shared" si="4"/>
        <v>0</v>
      </c>
    </row>
    <row r="150" spans="1:6" ht="15.75" thickBot="1" x14ac:dyDescent="0.3">
      <c r="A150" s="56" t="s">
        <v>218</v>
      </c>
      <c r="B150" s="61"/>
      <c r="C150" s="52"/>
      <c r="D150" s="53" t="s">
        <v>109</v>
      </c>
      <c r="E150" s="62"/>
      <c r="F150" s="68">
        <f t="shared" si="4"/>
        <v>0</v>
      </c>
    </row>
    <row r="151" spans="1:6" ht="15.75" thickBot="1" x14ac:dyDescent="0.3">
      <c r="A151" s="56" t="s">
        <v>219</v>
      </c>
      <c r="B151" s="61"/>
      <c r="C151" s="52"/>
      <c r="D151" s="53" t="s">
        <v>109</v>
      </c>
      <c r="E151" s="62"/>
      <c r="F151" s="67">
        <f t="shared" si="4"/>
        <v>0</v>
      </c>
    </row>
    <row r="152" spans="1:6" ht="15.75" thickBot="1" x14ac:dyDescent="0.3">
      <c r="A152" s="56" t="s">
        <v>220</v>
      </c>
      <c r="B152" s="61"/>
      <c r="C152" s="52"/>
      <c r="D152" s="53" t="s">
        <v>109</v>
      </c>
      <c r="E152" s="62"/>
      <c r="F152" s="68">
        <f t="shared" si="4"/>
        <v>0</v>
      </c>
    </row>
    <row r="153" spans="1:6" ht="15.75" thickBot="1" x14ac:dyDescent="0.3">
      <c r="A153" s="56" t="s">
        <v>221</v>
      </c>
      <c r="B153" s="61"/>
      <c r="C153" s="52"/>
      <c r="D153" s="53" t="s">
        <v>109</v>
      </c>
      <c r="E153" s="62"/>
      <c r="F153" s="67">
        <f t="shared" si="4"/>
        <v>0</v>
      </c>
    </row>
    <row r="154" spans="1:6" ht="15.75" thickBot="1" x14ac:dyDescent="0.3">
      <c r="A154" s="56" t="s">
        <v>222</v>
      </c>
      <c r="B154" s="61"/>
      <c r="C154" s="52"/>
      <c r="D154" s="53" t="s">
        <v>109</v>
      </c>
      <c r="E154" s="62"/>
      <c r="F154" s="68">
        <f t="shared" si="4"/>
        <v>0</v>
      </c>
    </row>
    <row r="155" spans="1:6" ht="15.75" thickBot="1" x14ac:dyDescent="0.3">
      <c r="A155" s="56" t="s">
        <v>223</v>
      </c>
      <c r="B155" s="61"/>
      <c r="C155" s="52"/>
      <c r="D155" s="53" t="s">
        <v>109</v>
      </c>
      <c r="E155" s="62"/>
      <c r="F155" s="67">
        <f t="shared" si="4"/>
        <v>0</v>
      </c>
    </row>
    <row r="156" spans="1:6" ht="15.75" thickBot="1" x14ac:dyDescent="0.3">
      <c r="A156" s="56" t="s">
        <v>224</v>
      </c>
      <c r="B156" s="61"/>
      <c r="C156" s="52"/>
      <c r="D156" s="53" t="s">
        <v>109</v>
      </c>
      <c r="E156" s="62"/>
      <c r="F156" s="68">
        <f t="shared" si="4"/>
        <v>0</v>
      </c>
    </row>
    <row r="157" spans="1:6" ht="15.75" thickBot="1" x14ac:dyDescent="0.3">
      <c r="A157" s="56" t="s">
        <v>225</v>
      </c>
      <c r="B157" s="61"/>
      <c r="C157" s="52"/>
      <c r="D157" s="53" t="s">
        <v>109</v>
      </c>
      <c r="E157" s="62"/>
      <c r="F157" s="67">
        <f t="shared" si="4"/>
        <v>0</v>
      </c>
    </row>
    <row r="158" spans="1:6" ht="15.75" thickBot="1" x14ac:dyDescent="0.3">
      <c r="A158" s="56" t="s">
        <v>226</v>
      </c>
      <c r="B158" s="61"/>
      <c r="C158" s="52"/>
      <c r="D158" s="53" t="s">
        <v>109</v>
      </c>
      <c r="E158" s="62"/>
      <c r="F158" s="68">
        <f t="shared" si="4"/>
        <v>0</v>
      </c>
    </row>
    <row r="159" spans="1:6" ht="15.75" thickBot="1" x14ac:dyDescent="0.3">
      <c r="A159" s="56" t="s">
        <v>227</v>
      </c>
      <c r="B159" s="61"/>
      <c r="C159" s="52"/>
      <c r="D159" s="53" t="s">
        <v>109</v>
      </c>
      <c r="E159" s="62"/>
      <c r="F159" s="67">
        <f t="shared" si="4"/>
        <v>0</v>
      </c>
    </row>
    <row r="160" spans="1:6" ht="15.75" thickBot="1" x14ac:dyDescent="0.3">
      <c r="A160" s="56" t="s">
        <v>228</v>
      </c>
      <c r="B160" s="61"/>
      <c r="C160" s="52"/>
      <c r="D160" s="53" t="s">
        <v>109</v>
      </c>
      <c r="E160" s="62"/>
      <c r="F160" s="68">
        <f t="shared" si="4"/>
        <v>0</v>
      </c>
    </row>
    <row r="161" spans="1:6" ht="15.75" thickBot="1" x14ac:dyDescent="0.3">
      <c r="A161" s="56" t="s">
        <v>229</v>
      </c>
      <c r="B161" s="61"/>
      <c r="C161" s="52"/>
      <c r="D161" s="53" t="s">
        <v>109</v>
      </c>
      <c r="E161" s="62"/>
      <c r="F161" s="67">
        <f t="shared" si="4"/>
        <v>0</v>
      </c>
    </row>
    <row r="162" spans="1:6" ht="15.75" thickBot="1" x14ac:dyDescent="0.3">
      <c r="A162" s="56" t="s">
        <v>230</v>
      </c>
      <c r="B162" s="61"/>
      <c r="C162" s="52"/>
      <c r="D162" s="53" t="s">
        <v>109</v>
      </c>
      <c r="E162" s="62"/>
      <c r="F162" s="68">
        <f t="shared" si="4"/>
        <v>0</v>
      </c>
    </row>
    <row r="163" spans="1:6" ht="15.75" thickBot="1" x14ac:dyDescent="0.3">
      <c r="A163" s="56" t="s">
        <v>231</v>
      </c>
      <c r="B163" s="61"/>
      <c r="C163" s="52"/>
      <c r="D163" s="53" t="s">
        <v>109</v>
      </c>
      <c r="E163" s="62"/>
      <c r="F163" s="67">
        <f t="shared" si="4"/>
        <v>0</v>
      </c>
    </row>
    <row r="164" spans="1:6" ht="15.75" thickBot="1" x14ac:dyDescent="0.3">
      <c r="A164" s="56" t="s">
        <v>232</v>
      </c>
      <c r="B164" s="61"/>
      <c r="C164" s="52"/>
      <c r="D164" s="53" t="s">
        <v>109</v>
      </c>
      <c r="E164" s="62"/>
      <c r="F164" s="68">
        <f t="shared" si="4"/>
        <v>0</v>
      </c>
    </row>
    <row r="165" spans="1:6" ht="15.75" thickBot="1" x14ac:dyDescent="0.3">
      <c r="A165" s="56" t="s">
        <v>233</v>
      </c>
      <c r="B165" s="61"/>
      <c r="C165" s="52"/>
      <c r="D165" s="53" t="s">
        <v>109</v>
      </c>
      <c r="E165" s="62"/>
      <c r="F165" s="67">
        <f t="shared" si="4"/>
        <v>0</v>
      </c>
    </row>
    <row r="166" spans="1:6" ht="15.75" thickBot="1" x14ac:dyDescent="0.3">
      <c r="A166" s="56" t="s">
        <v>234</v>
      </c>
      <c r="B166" s="70"/>
      <c r="C166" s="71"/>
      <c r="D166" s="72" t="s">
        <v>109</v>
      </c>
      <c r="E166" s="73"/>
      <c r="F166" s="68">
        <f t="shared" si="4"/>
        <v>0</v>
      </c>
    </row>
    <row r="167" spans="1:6" ht="15.75" thickBot="1" x14ac:dyDescent="0.3">
      <c r="A167" s="47" t="s">
        <v>235</v>
      </c>
      <c r="B167" s="54"/>
      <c r="C167" s="52"/>
      <c r="D167" s="53" t="s">
        <v>109</v>
      </c>
      <c r="E167" s="55"/>
      <c r="F167" s="68">
        <f t="shared" si="4"/>
        <v>0</v>
      </c>
    </row>
    <row r="168" spans="1:6" ht="15.75" thickBot="1" x14ac:dyDescent="0.3">
      <c r="A168" s="47" t="s">
        <v>236</v>
      </c>
      <c r="B168" s="46"/>
      <c r="C168" s="45"/>
      <c r="D168" s="65" t="s">
        <v>109</v>
      </c>
      <c r="E168" s="45"/>
      <c r="F168" s="68">
        <f t="shared" si="4"/>
        <v>0</v>
      </c>
    </row>
    <row r="169" spans="1:6" ht="15.75" thickBot="1" x14ac:dyDescent="0.3"/>
    <row r="170" spans="1:6" ht="15.75" thickBot="1" x14ac:dyDescent="0.3">
      <c r="A170" s="130" t="s">
        <v>237</v>
      </c>
      <c r="B170" s="131"/>
      <c r="C170" s="131"/>
      <c r="D170" s="131"/>
      <c r="E170" s="131"/>
      <c r="F170" s="131"/>
    </row>
    <row r="171" spans="1:6" ht="15.75" thickBot="1" x14ac:dyDescent="0.3">
      <c r="A171" s="44" t="s">
        <v>66</v>
      </c>
      <c r="B171" s="44" t="s">
        <v>108</v>
      </c>
      <c r="C171" s="44" t="s">
        <v>107</v>
      </c>
      <c r="D171" s="44" t="s">
        <v>67</v>
      </c>
      <c r="E171" s="44" t="s">
        <v>106</v>
      </c>
      <c r="F171" s="49" t="s">
        <v>68</v>
      </c>
    </row>
    <row r="172" spans="1:6" ht="15.75" thickBot="1" x14ac:dyDescent="0.3">
      <c r="A172" s="74">
        <v>1</v>
      </c>
      <c r="B172" s="58"/>
      <c r="C172" s="48"/>
      <c r="D172" s="59" t="s">
        <v>109</v>
      </c>
      <c r="E172" s="60"/>
      <c r="F172" s="68">
        <f>IF(D172="DASHCLUSTER classic V1",(E172*L176)-B172+C172,IF(D172="DASHCLUSTER premium V1",(E172*P176)-B172+C172,IF(D172="Bez prodejů",-B172+C172,"")))</f>
        <v>0</v>
      </c>
    </row>
    <row r="173" spans="1:6" ht="15.75" thickBot="1" x14ac:dyDescent="0.3">
      <c r="A173" s="74">
        <v>2</v>
      </c>
      <c r="B173" s="61"/>
      <c r="C173" s="52"/>
      <c r="D173" s="53" t="s">
        <v>109</v>
      </c>
      <c r="E173" s="62"/>
      <c r="F173" s="67">
        <f>IF(D173="DASHCLUSTER classic V1",(E173*L176)-B173+C173,IF(D173="DASHCLUSTER premium V1",(E173*P176)-B173+C173,IF(D173="Bez prodejů",-B173+C173,"")))</f>
        <v>0</v>
      </c>
    </row>
    <row r="174" spans="1:6" ht="15.75" thickBot="1" x14ac:dyDescent="0.3">
      <c r="A174" s="74">
        <v>3</v>
      </c>
      <c r="B174" s="61"/>
      <c r="C174" s="52"/>
      <c r="D174" s="53" t="s">
        <v>109</v>
      </c>
      <c r="E174" s="62"/>
      <c r="F174" s="68">
        <f>IF(D174="DASHCLUSTER classic V1",(E174*L176)-B174+C174,IF(D174="DASHCLUSTER premium V1",(E174*P176)-B174+C174,IF(D174="Bez prodejů",-B174+C174,"")))</f>
        <v>0</v>
      </c>
    </row>
    <row r="175" spans="1:6" ht="15.75" thickBot="1" x14ac:dyDescent="0.3">
      <c r="A175" s="74">
        <v>4</v>
      </c>
      <c r="B175" s="61"/>
      <c r="C175" s="52"/>
      <c r="D175" s="53" t="s">
        <v>109</v>
      </c>
      <c r="E175" s="62"/>
      <c r="F175" s="68">
        <f>IF(D175="DASHCLUSTER classic V1",(E175*L176)-B175+C175,IF(D175="DASHCLUSTER premium V1",(E175*P176)-B175+C175,IF(D175="Bez prodejů",-B175+C175,"")))</f>
        <v>0</v>
      </c>
    </row>
    <row r="176" spans="1:6" ht="15.75" thickBot="1" x14ac:dyDescent="0.3">
      <c r="A176" s="74">
        <v>5</v>
      </c>
      <c r="B176" s="61"/>
      <c r="C176" s="52"/>
      <c r="D176" s="53" t="s">
        <v>109</v>
      </c>
      <c r="E176" s="62"/>
      <c r="F176" s="67">
        <f>IF(D176="DASHCLUSTER classic V1",(E176*L176)-B176+C176,IF(D176="DASHCLUSTER premium V1",(E176*P176)-B176+C176,IF(D176="Bez prodejů",-B176+C176,"")))</f>
        <v>0</v>
      </c>
    </row>
    <row r="177" spans="1:6" ht="15.75" thickBot="1" x14ac:dyDescent="0.3">
      <c r="A177" s="74">
        <v>6</v>
      </c>
      <c r="B177" s="61"/>
      <c r="C177" s="52"/>
      <c r="D177" s="53" t="s">
        <v>109</v>
      </c>
      <c r="E177" s="62"/>
      <c r="F177" s="68">
        <f>IF(D177="DASHCLUSTER classic V1",(E177*L176)-B177+C177,IF(D177="DASHCLUSTER premium V1",(E177*P176)-B177+C177,IF(D177="Bez prodejů",-B177+C177,"")))</f>
        <v>0</v>
      </c>
    </row>
    <row r="178" spans="1:6" ht="15.75" thickBot="1" x14ac:dyDescent="0.3">
      <c r="A178" s="74">
        <v>7</v>
      </c>
      <c r="B178" s="61"/>
      <c r="C178" s="52"/>
      <c r="D178" s="53" t="s">
        <v>109</v>
      </c>
      <c r="E178" s="62"/>
      <c r="F178" s="68">
        <f>IF(D178="DASHCLUSTER classic V1",(E178*L176)-B178+C178,IF(D178="DASHCLUSTER premium V1",(E178*P176)-B178+C178,IF(D178="Bez prodejů",-B178+C178,"")))</f>
        <v>0</v>
      </c>
    </row>
    <row r="179" spans="1:6" ht="15.75" thickBot="1" x14ac:dyDescent="0.3">
      <c r="A179" s="74">
        <v>8</v>
      </c>
      <c r="B179" s="61"/>
      <c r="C179" s="52"/>
      <c r="D179" s="53" t="s">
        <v>109</v>
      </c>
      <c r="E179" s="62"/>
      <c r="F179" s="68">
        <f>IF(D179="DASHCLUSTER classic V1",(E179*L176)-B179+C179,IF(D179="DASHCLUSTER premium V1",(E179*P176)-B179+C179,IF(D179="Bez prodejů",-B179+C179,"")))</f>
        <v>0</v>
      </c>
    </row>
    <row r="180" spans="1:6" ht="15.75" thickBot="1" x14ac:dyDescent="0.3">
      <c r="A180" s="74">
        <v>9</v>
      </c>
      <c r="B180" s="61"/>
      <c r="C180" s="52"/>
      <c r="D180" s="53" t="s">
        <v>109</v>
      </c>
      <c r="E180" s="62"/>
      <c r="F180" s="67">
        <f>IF(D180="DASHCLUSTER classic V1",(E180*L176)-B180+C180,IF(D180="DASHCLUSTER premium V1",(E180*P176)-B180+C180,IF(D180="Bez prodejů",-B180+C180,"")))</f>
        <v>0</v>
      </c>
    </row>
    <row r="181" spans="1:6" ht="15.75" thickBot="1" x14ac:dyDescent="0.3">
      <c r="A181" s="74">
        <v>10</v>
      </c>
      <c r="B181" s="61"/>
      <c r="C181" s="52"/>
      <c r="D181" s="53" t="s">
        <v>109</v>
      </c>
      <c r="E181" s="62"/>
      <c r="F181" s="68">
        <f>IF(D181="DASHCLUSTER classic V1",(E181*L176)-B181+C181,IF(D181="DASHCLUSTER premium V1",(E181*P176)-B181+C181,IF(D181="Bez prodejů",-B181+C181,"")))</f>
        <v>0</v>
      </c>
    </row>
    <row r="182" spans="1:6" ht="15.75" thickBot="1" x14ac:dyDescent="0.3">
      <c r="A182" s="74">
        <v>11</v>
      </c>
      <c r="B182" s="61"/>
      <c r="C182" s="52"/>
      <c r="D182" s="53" t="s">
        <v>109</v>
      </c>
      <c r="E182" s="62"/>
      <c r="F182" s="68">
        <f>IF(D182="DASHCLUSTER classic V1",(E182*L176)-B182+C182,IF(D182="DASHCLUSTER premium V1",(E182*P176)-B182+C182,IF(D182="Bez prodejů",-B182+C182,"")))</f>
        <v>0</v>
      </c>
    </row>
    <row r="183" spans="1:6" ht="15.75" thickBot="1" x14ac:dyDescent="0.3">
      <c r="A183" s="74">
        <v>12</v>
      </c>
      <c r="B183" s="61"/>
      <c r="C183" s="52"/>
      <c r="D183" s="53" t="s">
        <v>109</v>
      </c>
      <c r="E183" s="62"/>
      <c r="F183" s="67">
        <f>IF(D183="DASHCLUSTER classic V1",(E183*L176)-B183+C183,IF(D183="DASHCLUSTER premium V1",(E183*P176)-B183+C183,IF(D183="Bez prodejů",-B183+C183,"")))</f>
        <v>0</v>
      </c>
    </row>
    <row r="184" spans="1:6" ht="15.75" thickBot="1" x14ac:dyDescent="0.3">
      <c r="A184" s="74">
        <v>13</v>
      </c>
      <c r="B184" s="61"/>
      <c r="C184" s="52"/>
      <c r="D184" s="53" t="s">
        <v>109</v>
      </c>
      <c r="E184" s="62"/>
      <c r="F184" s="68">
        <f>IF(D184="DASHCLUSTER classic V1",(E184*L176)-B184+C184,IF(D184="DASHCLUSTER premium V1",(E184*P176)-B184+C184,IF(D184="Bez prodejů",-B184+C184,"")))</f>
        <v>0</v>
      </c>
    </row>
    <row r="185" spans="1:6" ht="15.75" thickBot="1" x14ac:dyDescent="0.3">
      <c r="A185" s="74">
        <v>14</v>
      </c>
      <c r="B185" s="61"/>
      <c r="C185" s="52"/>
      <c r="D185" s="53" t="s">
        <v>109</v>
      </c>
      <c r="E185" s="62"/>
      <c r="F185" s="68">
        <f>IF(D185="DASHCLUSTER classic V1",(E185*L176)-B185+C185,IF(D185="DASHCLUSTER premium V1",(E185*P176)-B185+C185,IF(D185="Bez prodejů",-B185+C185,"")))</f>
        <v>0</v>
      </c>
    </row>
    <row r="186" spans="1:6" ht="15.75" thickBot="1" x14ac:dyDescent="0.3">
      <c r="A186" s="74">
        <v>15</v>
      </c>
      <c r="B186" s="61"/>
      <c r="C186" s="52"/>
      <c r="D186" s="53" t="s">
        <v>109</v>
      </c>
      <c r="E186" s="62"/>
      <c r="F186" s="68">
        <f>IF(D186="DASHCLUSTER classic V1",(E186*L176)-B186+C186,IF(D186="DASHCLUSTER premium V1",(E186*P176)-B186+C186,IF(D186="Bez prodejů",-B186+C186,"")))</f>
        <v>0</v>
      </c>
    </row>
    <row r="187" spans="1:6" ht="15.75" thickBot="1" x14ac:dyDescent="0.3">
      <c r="A187" s="74">
        <v>16</v>
      </c>
      <c r="B187" s="61"/>
      <c r="C187" s="52"/>
      <c r="D187" s="53" t="s">
        <v>109</v>
      </c>
      <c r="E187" s="62"/>
      <c r="F187" s="67">
        <f>IF(D187="DASHCLUSTER classic V1",(E187*L176)-B187+C187,IF(D187="DASHCLUSTER premium V1",(E187*P176)-B187+C187,IF(D187="Bez prodejů",-B187+C187,"")))</f>
        <v>0</v>
      </c>
    </row>
    <row r="188" spans="1:6" ht="15.75" thickBot="1" x14ac:dyDescent="0.3">
      <c r="A188" s="74">
        <v>17</v>
      </c>
      <c r="B188" s="61"/>
      <c r="C188" s="52"/>
      <c r="D188" s="53" t="s">
        <v>109</v>
      </c>
      <c r="E188" s="62"/>
      <c r="F188" s="68">
        <f>IF(D188="DASHCLUSTER classic V1",(E188*L176)-B188+C188,IF(D188="DASHCLUSTER premium V1",(E188*P176)-B188+C188,IF(D188="Bez prodejů",-B188+C188,"")))</f>
        <v>0</v>
      </c>
    </row>
    <row r="189" spans="1:6" ht="15.75" thickBot="1" x14ac:dyDescent="0.3">
      <c r="A189" s="74">
        <v>18</v>
      </c>
      <c r="B189" s="61"/>
      <c r="C189" s="52"/>
      <c r="D189" s="53" t="s">
        <v>109</v>
      </c>
      <c r="E189" s="62"/>
      <c r="F189" s="67">
        <f>IF(D189="DASHCLUSTER classic V1",(E189*L176)-B189+C189,IF(D189="DASHCLUSTER premium V1",(E189*P176)-B189+C189,IF(D189="Bez prodejů",-B189+C189,"")))</f>
        <v>0</v>
      </c>
    </row>
    <row r="190" spans="1:6" ht="15.75" thickBot="1" x14ac:dyDescent="0.3">
      <c r="A190" s="74">
        <v>19</v>
      </c>
      <c r="B190" s="61"/>
      <c r="C190" s="52"/>
      <c r="D190" s="53" t="s">
        <v>109</v>
      </c>
      <c r="E190" s="62"/>
      <c r="F190" s="68">
        <f>IF(D190="DASHCLUSTER classic V1",(E190*L176)-B190+C190,IF(D190="DASHCLUSTER premium V1",(E190*P176)-B190+C190,IF(D190="Bez prodejů",-B190+C190,"")))</f>
        <v>0</v>
      </c>
    </row>
    <row r="191" spans="1:6" ht="15.75" thickBot="1" x14ac:dyDescent="0.3">
      <c r="A191" s="74">
        <v>20</v>
      </c>
      <c r="B191" s="61"/>
      <c r="C191" s="52"/>
      <c r="D191" s="53" t="s">
        <v>109</v>
      </c>
      <c r="E191" s="62"/>
      <c r="F191" s="68">
        <f>IF(D191="DASHCLUSTER classic V1",(E191*L176)-B191+C191,IF(D191="DASHCLUSTER premium V1",(E191*P176)-B191+C191,IF(D191="Bez prodejů",-B191+C191,"")))</f>
        <v>0</v>
      </c>
    </row>
    <row r="192" spans="1:6" ht="15.75" thickBot="1" x14ac:dyDescent="0.3">
      <c r="A192" s="74">
        <v>21</v>
      </c>
      <c r="B192" s="61"/>
      <c r="C192" s="52"/>
      <c r="D192" s="53" t="s">
        <v>109</v>
      </c>
      <c r="E192" s="62"/>
      <c r="F192" s="67">
        <f>IF(D192="DASHCLUSTER classic V1",(E192*L176)-B192+C192,IF(D192="DASHCLUSTER premium V1",(E192*P176)-B192+C192,IF(D192="Bez prodejů",-B192+C192,"")))</f>
        <v>0</v>
      </c>
    </row>
    <row r="193" spans="1:6" ht="15.75" thickBot="1" x14ac:dyDescent="0.3">
      <c r="A193" s="74">
        <v>22</v>
      </c>
      <c r="B193" s="61"/>
      <c r="C193" s="52"/>
      <c r="D193" s="53" t="s">
        <v>109</v>
      </c>
      <c r="E193" s="62"/>
      <c r="F193" s="68">
        <f>IF(D193="DASHCLUSTER classic V1",(E193*L176)-B193+C193,IF(D193="DASHCLUSTER premium V1",(E193*P176)-B193+C193,IF(D193="Bez prodejů",-B193+C193,"")))</f>
        <v>0</v>
      </c>
    </row>
    <row r="194" spans="1:6" ht="15.75" thickBot="1" x14ac:dyDescent="0.3">
      <c r="A194" s="74">
        <v>23</v>
      </c>
      <c r="B194" s="61"/>
      <c r="C194" s="52"/>
      <c r="D194" s="53" t="s">
        <v>109</v>
      </c>
      <c r="E194" s="62"/>
      <c r="F194" s="68">
        <f>IF(D194="DASHCLUSTER classic V1",(E194*L176)-B194+C194,IF(D194="DASHCLUSTER premium V1",(E194*P176)-B194+C194,IF(D194="Bez prodejů",-B194+C194,"")))</f>
        <v>0</v>
      </c>
    </row>
    <row r="195" spans="1:6" ht="15.75" thickBot="1" x14ac:dyDescent="0.3">
      <c r="A195" s="74">
        <v>24</v>
      </c>
      <c r="B195" s="61"/>
      <c r="C195" s="52"/>
      <c r="D195" s="53" t="s">
        <v>109</v>
      </c>
      <c r="E195" s="62"/>
      <c r="F195" s="68">
        <f>IF(D195="DASHCLUSTER classic V1",(E195*L176)-B195+C195,IF(D195="DASHCLUSTER premium V1",(E195*P176)-B195+C195,IF(D195="Bez prodejů",-B195+C195,"")))</f>
        <v>0</v>
      </c>
    </row>
    <row r="196" spans="1:6" ht="15.75" thickBot="1" x14ac:dyDescent="0.3">
      <c r="A196" s="74">
        <v>25</v>
      </c>
      <c r="B196" s="61"/>
      <c r="C196" s="52"/>
      <c r="D196" s="53" t="s">
        <v>109</v>
      </c>
      <c r="E196" s="62"/>
      <c r="F196" s="67">
        <f>IF(D196="DASHCLUSTER classic V1",(E196*L176)-B196+C196,IF(D196="DASHCLUSTER premium V1",(E196*P176)-B196+C196,IF(D196="Bez prodejů",-B196+C196,"")))</f>
        <v>0</v>
      </c>
    </row>
    <row r="197" spans="1:6" ht="15.75" thickBot="1" x14ac:dyDescent="0.3">
      <c r="A197" s="74">
        <v>26</v>
      </c>
      <c r="B197" s="61"/>
      <c r="C197" s="52"/>
      <c r="D197" s="53" t="s">
        <v>109</v>
      </c>
      <c r="E197" s="62"/>
      <c r="F197" s="68">
        <f>IF(D197="DASHCLUSTER classic V1",(E197*L176)-B197+C197,IF(D197="DASHCLUSTER premium V1",(E197*P176)-B197+C197,IF(D197="Bez prodejů",-B197+C197,"")))</f>
        <v>0</v>
      </c>
    </row>
    <row r="198" spans="1:6" ht="15.75" thickBot="1" x14ac:dyDescent="0.3">
      <c r="A198" s="74">
        <v>27</v>
      </c>
      <c r="B198" s="61"/>
      <c r="C198" s="52"/>
      <c r="D198" s="53" t="s">
        <v>109</v>
      </c>
      <c r="E198" s="62"/>
      <c r="F198" s="68">
        <f>IF(D198="DASHCLUSTER classic V1",(E198*L176)-B198+C198,IF(D198="DASHCLUSTER premium V1",(E198*P176)-B198+C198,IF(D198="Bez prodejů",-B198+C198,"")))</f>
        <v>0</v>
      </c>
    </row>
    <row r="199" spans="1:6" ht="15.75" thickBot="1" x14ac:dyDescent="0.3">
      <c r="A199" s="74">
        <v>28</v>
      </c>
      <c r="B199" s="61"/>
      <c r="C199" s="52"/>
      <c r="D199" s="53" t="s">
        <v>109</v>
      </c>
      <c r="E199" s="62"/>
      <c r="F199" s="67">
        <f>IF(D199="DASHCLUSTER classic V1",(E199*L176)-B199+C199,IF(D199="DASHCLUSTER premium V1",(E199*P176)-B199+C199,IF(D199="Bez prodejů",-B199+C199,"")))</f>
        <v>0</v>
      </c>
    </row>
    <row r="200" spans="1:6" ht="15.75" thickBot="1" x14ac:dyDescent="0.3">
      <c r="A200" s="74">
        <v>29</v>
      </c>
      <c r="B200" s="61"/>
      <c r="C200" s="52"/>
      <c r="D200" s="53" t="s">
        <v>109</v>
      </c>
      <c r="E200" s="62"/>
      <c r="F200" s="68">
        <f>IF(D200="DASHCLUSTER classic V1",(E200*L176)-B200+C200,IF(D200="DASHCLUSTER premium V1",(E200*P176)-B200+C200,IF(D200="Bez prodejů",-B200+C200,"")))</f>
        <v>0</v>
      </c>
    </row>
    <row r="201" spans="1:6" ht="15.75" thickBot="1" x14ac:dyDescent="0.3">
      <c r="A201" s="74">
        <v>30</v>
      </c>
      <c r="B201" s="63"/>
      <c r="C201" s="64"/>
      <c r="D201" s="65" t="s">
        <v>109</v>
      </c>
      <c r="E201" s="66"/>
      <c r="F201" s="68">
        <f>IF(D201="DASHCLUSTER classic V1",(E201*L176)-B201+C201,IF(D201="DASHCLUSTER premium V1",(E201*P176)-B201+C201,IF(D201="Bez prodejů",-B201+C201,"")))</f>
        <v>0</v>
      </c>
    </row>
    <row r="202" spans="1:6" ht="15.75" thickBot="1" x14ac:dyDescent="0.3"/>
    <row r="203" spans="1:6" ht="15.75" thickBot="1" x14ac:dyDescent="0.3">
      <c r="A203" s="130" t="s">
        <v>238</v>
      </c>
      <c r="B203" s="131"/>
      <c r="C203" s="131"/>
      <c r="D203" s="131"/>
      <c r="E203" s="131"/>
      <c r="F203" s="131"/>
    </row>
    <row r="204" spans="1:6" ht="15.75" thickBot="1" x14ac:dyDescent="0.3">
      <c r="A204" s="44" t="s">
        <v>66</v>
      </c>
      <c r="B204" s="44" t="s">
        <v>108</v>
      </c>
      <c r="C204" s="44" t="s">
        <v>107</v>
      </c>
      <c r="D204" s="44" t="s">
        <v>67</v>
      </c>
      <c r="E204" s="44" t="s">
        <v>106</v>
      </c>
      <c r="F204" s="49" t="s">
        <v>68</v>
      </c>
    </row>
    <row r="205" spans="1:6" ht="15.75" thickBot="1" x14ac:dyDescent="0.3">
      <c r="A205" s="75">
        <v>1</v>
      </c>
      <c r="B205" s="58"/>
      <c r="C205" s="48"/>
      <c r="D205" s="59" t="s">
        <v>109</v>
      </c>
      <c r="E205" s="60"/>
      <c r="F205" s="68">
        <f>IF(D205="DASHCLUSTER classic V1",(E205*$L$8)-B205+C205,IF(D205="DASHCLUSTER premium V1",(E205*$P$8)-B205+C205,IF(D205="Bez prodejů",-B205+C205,"")))</f>
        <v>0</v>
      </c>
    </row>
    <row r="206" spans="1:6" ht="15.75" thickBot="1" x14ac:dyDescent="0.3">
      <c r="A206" s="75">
        <v>2</v>
      </c>
      <c r="B206" s="61"/>
      <c r="C206" s="52"/>
      <c r="D206" s="53" t="s">
        <v>109</v>
      </c>
      <c r="E206" s="62"/>
      <c r="F206" s="67">
        <f>IF(D206="DASHCLUSTER classic V1",(E206*$L$8)-B206+C206,IF(D206="DASHCLUSTER premium V1",(E206*$P$8)-B206+C206,IF(D206="Bez prodejů",-B206+C206,"")))</f>
        <v>0</v>
      </c>
    </row>
    <row r="207" spans="1:6" ht="15.75" thickBot="1" x14ac:dyDescent="0.3">
      <c r="A207" s="75">
        <v>3</v>
      </c>
      <c r="B207" s="61"/>
      <c r="C207" s="52"/>
      <c r="D207" s="53" t="s">
        <v>109</v>
      </c>
      <c r="E207" s="62"/>
      <c r="F207" s="68">
        <f t="shared" ref="F207:F235" si="5">IF(D207="DASHCLUSTER classic V1",(E207*$L$8)-B207+C207,IF(D207="DASHCLUSTER premium V1",(E207*$P$8)-B207+C207,IF(D207="Bez prodejů",-B207+C207,"")))</f>
        <v>0</v>
      </c>
    </row>
    <row r="208" spans="1:6" ht="15.75" thickBot="1" x14ac:dyDescent="0.3">
      <c r="A208" s="75">
        <v>4</v>
      </c>
      <c r="B208" s="61"/>
      <c r="C208" s="52"/>
      <c r="D208" s="53" t="s">
        <v>109</v>
      </c>
      <c r="E208" s="62"/>
      <c r="F208" s="67">
        <f t="shared" si="5"/>
        <v>0</v>
      </c>
    </row>
    <row r="209" spans="1:6" ht="15.75" thickBot="1" x14ac:dyDescent="0.3">
      <c r="A209" s="75">
        <v>5</v>
      </c>
      <c r="B209" s="61"/>
      <c r="C209" s="52"/>
      <c r="D209" s="53" t="s">
        <v>109</v>
      </c>
      <c r="E209" s="62"/>
      <c r="F209" s="68">
        <f t="shared" si="5"/>
        <v>0</v>
      </c>
    </row>
    <row r="210" spans="1:6" ht="15.75" thickBot="1" x14ac:dyDescent="0.3">
      <c r="A210" s="75">
        <v>6</v>
      </c>
      <c r="B210" s="61"/>
      <c r="C210" s="52"/>
      <c r="D210" s="53" t="s">
        <v>109</v>
      </c>
      <c r="E210" s="62"/>
      <c r="F210" s="67">
        <f t="shared" si="5"/>
        <v>0</v>
      </c>
    </row>
    <row r="211" spans="1:6" ht="15.75" thickBot="1" x14ac:dyDescent="0.3">
      <c r="A211" s="75">
        <v>7</v>
      </c>
      <c r="B211" s="61"/>
      <c r="C211" s="52"/>
      <c r="D211" s="53" t="s">
        <v>109</v>
      </c>
      <c r="E211" s="62"/>
      <c r="F211" s="68">
        <f t="shared" si="5"/>
        <v>0</v>
      </c>
    </row>
    <row r="212" spans="1:6" ht="15.75" thickBot="1" x14ac:dyDescent="0.3">
      <c r="A212" s="75">
        <v>8</v>
      </c>
      <c r="B212" s="61"/>
      <c r="C212" s="52"/>
      <c r="D212" s="53" t="s">
        <v>109</v>
      </c>
      <c r="E212" s="62"/>
      <c r="F212" s="67">
        <f t="shared" si="5"/>
        <v>0</v>
      </c>
    </row>
    <row r="213" spans="1:6" ht="15.75" thickBot="1" x14ac:dyDescent="0.3">
      <c r="A213" s="75">
        <v>9</v>
      </c>
      <c r="B213" s="61"/>
      <c r="C213" s="52"/>
      <c r="D213" s="53" t="s">
        <v>109</v>
      </c>
      <c r="E213" s="62"/>
      <c r="F213" s="68">
        <f t="shared" si="5"/>
        <v>0</v>
      </c>
    </row>
    <row r="214" spans="1:6" ht="15.75" thickBot="1" x14ac:dyDescent="0.3">
      <c r="A214" s="75">
        <v>10</v>
      </c>
      <c r="B214" s="61"/>
      <c r="C214" s="52"/>
      <c r="D214" s="53" t="s">
        <v>109</v>
      </c>
      <c r="E214" s="62"/>
      <c r="F214" s="67">
        <f t="shared" si="5"/>
        <v>0</v>
      </c>
    </row>
    <row r="215" spans="1:6" ht="15.75" thickBot="1" x14ac:dyDescent="0.3">
      <c r="A215" s="75">
        <v>11</v>
      </c>
      <c r="B215" s="61"/>
      <c r="C215" s="52"/>
      <c r="D215" s="53" t="s">
        <v>109</v>
      </c>
      <c r="E215" s="62"/>
      <c r="F215" s="68">
        <f t="shared" si="5"/>
        <v>0</v>
      </c>
    </row>
    <row r="216" spans="1:6" ht="15.75" thickBot="1" x14ac:dyDescent="0.3">
      <c r="A216" s="75">
        <v>12</v>
      </c>
      <c r="B216" s="61"/>
      <c r="C216" s="52"/>
      <c r="D216" s="53" t="s">
        <v>109</v>
      </c>
      <c r="E216" s="62"/>
      <c r="F216" s="67">
        <f t="shared" si="5"/>
        <v>0</v>
      </c>
    </row>
    <row r="217" spans="1:6" ht="15.75" thickBot="1" x14ac:dyDescent="0.3">
      <c r="A217" s="75">
        <v>13</v>
      </c>
      <c r="B217" s="61"/>
      <c r="C217" s="52"/>
      <c r="D217" s="53" t="s">
        <v>109</v>
      </c>
      <c r="E217" s="62"/>
      <c r="F217" s="68">
        <f t="shared" si="5"/>
        <v>0</v>
      </c>
    </row>
    <row r="218" spans="1:6" ht="15.75" thickBot="1" x14ac:dyDescent="0.3">
      <c r="A218" s="75">
        <v>14</v>
      </c>
      <c r="B218" s="61"/>
      <c r="C218" s="52"/>
      <c r="D218" s="53" t="s">
        <v>109</v>
      </c>
      <c r="E218" s="62"/>
      <c r="F218" s="67">
        <f t="shared" si="5"/>
        <v>0</v>
      </c>
    </row>
    <row r="219" spans="1:6" ht="15.75" thickBot="1" x14ac:dyDescent="0.3">
      <c r="A219" s="75">
        <v>15</v>
      </c>
      <c r="B219" s="61"/>
      <c r="C219" s="52"/>
      <c r="D219" s="53" t="s">
        <v>109</v>
      </c>
      <c r="E219" s="62"/>
      <c r="F219" s="68">
        <f t="shared" si="5"/>
        <v>0</v>
      </c>
    </row>
    <row r="220" spans="1:6" ht="15.75" thickBot="1" x14ac:dyDescent="0.3">
      <c r="A220" s="75">
        <v>16</v>
      </c>
      <c r="B220" s="61"/>
      <c r="C220" s="52"/>
      <c r="D220" s="53" t="s">
        <v>109</v>
      </c>
      <c r="E220" s="62"/>
      <c r="F220" s="67">
        <f t="shared" si="5"/>
        <v>0</v>
      </c>
    </row>
    <row r="221" spans="1:6" ht="15.75" thickBot="1" x14ac:dyDescent="0.3">
      <c r="A221" s="75">
        <v>17</v>
      </c>
      <c r="B221" s="61"/>
      <c r="C221" s="52"/>
      <c r="D221" s="53" t="s">
        <v>109</v>
      </c>
      <c r="E221" s="62"/>
      <c r="F221" s="68">
        <f t="shared" si="5"/>
        <v>0</v>
      </c>
    </row>
    <row r="222" spans="1:6" ht="15.75" thickBot="1" x14ac:dyDescent="0.3">
      <c r="A222" s="75">
        <v>18</v>
      </c>
      <c r="B222" s="61"/>
      <c r="C222" s="52"/>
      <c r="D222" s="53" t="s">
        <v>109</v>
      </c>
      <c r="E222" s="62"/>
      <c r="F222" s="67">
        <f t="shared" si="5"/>
        <v>0</v>
      </c>
    </row>
    <row r="223" spans="1:6" ht="15.75" thickBot="1" x14ac:dyDescent="0.3">
      <c r="A223" s="75">
        <v>19</v>
      </c>
      <c r="B223" s="61"/>
      <c r="C223" s="52"/>
      <c r="D223" s="53" t="s">
        <v>109</v>
      </c>
      <c r="E223" s="62"/>
      <c r="F223" s="68">
        <f t="shared" si="5"/>
        <v>0</v>
      </c>
    </row>
    <row r="224" spans="1:6" ht="15.75" thickBot="1" x14ac:dyDescent="0.3">
      <c r="A224" s="75">
        <v>20</v>
      </c>
      <c r="B224" s="61"/>
      <c r="C224" s="52"/>
      <c r="D224" s="53" t="s">
        <v>109</v>
      </c>
      <c r="E224" s="62"/>
      <c r="F224" s="67">
        <f t="shared" si="5"/>
        <v>0</v>
      </c>
    </row>
    <row r="225" spans="1:6" ht="15.75" thickBot="1" x14ac:dyDescent="0.3">
      <c r="A225" s="75">
        <v>21</v>
      </c>
      <c r="B225" s="61"/>
      <c r="C225" s="52"/>
      <c r="D225" s="53" t="s">
        <v>109</v>
      </c>
      <c r="E225" s="62"/>
      <c r="F225" s="68">
        <f t="shared" si="5"/>
        <v>0</v>
      </c>
    </row>
    <row r="226" spans="1:6" ht="15.75" thickBot="1" x14ac:dyDescent="0.3">
      <c r="A226" s="75">
        <v>22</v>
      </c>
      <c r="B226" s="61"/>
      <c r="C226" s="52"/>
      <c r="D226" s="53" t="s">
        <v>109</v>
      </c>
      <c r="E226" s="62"/>
      <c r="F226" s="67">
        <f t="shared" si="5"/>
        <v>0</v>
      </c>
    </row>
    <row r="227" spans="1:6" ht="15.75" thickBot="1" x14ac:dyDescent="0.3">
      <c r="A227" s="75">
        <v>23</v>
      </c>
      <c r="B227" s="61"/>
      <c r="C227" s="52"/>
      <c r="D227" s="53" t="s">
        <v>109</v>
      </c>
      <c r="E227" s="62"/>
      <c r="F227" s="68">
        <f t="shared" si="5"/>
        <v>0</v>
      </c>
    </row>
    <row r="228" spans="1:6" ht="15.75" thickBot="1" x14ac:dyDescent="0.3">
      <c r="A228" s="75">
        <v>24</v>
      </c>
      <c r="B228" s="61"/>
      <c r="C228" s="52"/>
      <c r="D228" s="53" t="s">
        <v>109</v>
      </c>
      <c r="E228" s="62"/>
      <c r="F228" s="67">
        <f t="shared" si="5"/>
        <v>0</v>
      </c>
    </row>
    <row r="229" spans="1:6" ht="15.75" thickBot="1" x14ac:dyDescent="0.3">
      <c r="A229" s="75">
        <v>25</v>
      </c>
      <c r="B229" s="61"/>
      <c r="C229" s="52"/>
      <c r="D229" s="53" t="s">
        <v>109</v>
      </c>
      <c r="E229" s="62"/>
      <c r="F229" s="68">
        <f t="shared" si="5"/>
        <v>0</v>
      </c>
    </row>
    <row r="230" spans="1:6" ht="15.75" thickBot="1" x14ac:dyDescent="0.3">
      <c r="A230" s="75">
        <v>26</v>
      </c>
      <c r="B230" s="61"/>
      <c r="C230" s="52"/>
      <c r="D230" s="53" t="s">
        <v>109</v>
      </c>
      <c r="E230" s="62"/>
      <c r="F230" s="67">
        <f t="shared" si="5"/>
        <v>0</v>
      </c>
    </row>
    <row r="231" spans="1:6" ht="15.75" thickBot="1" x14ac:dyDescent="0.3">
      <c r="A231" s="75">
        <v>27</v>
      </c>
      <c r="B231" s="61"/>
      <c r="C231" s="52"/>
      <c r="D231" s="53" t="s">
        <v>109</v>
      </c>
      <c r="E231" s="62"/>
      <c r="F231" s="68">
        <f t="shared" si="5"/>
        <v>0</v>
      </c>
    </row>
    <row r="232" spans="1:6" ht="15.75" thickBot="1" x14ac:dyDescent="0.3">
      <c r="A232" s="75">
        <v>28</v>
      </c>
      <c r="B232" s="61"/>
      <c r="C232" s="52"/>
      <c r="D232" s="53" t="s">
        <v>109</v>
      </c>
      <c r="E232" s="62"/>
      <c r="F232" s="67">
        <f t="shared" si="5"/>
        <v>0</v>
      </c>
    </row>
    <row r="233" spans="1:6" ht="15.75" thickBot="1" x14ac:dyDescent="0.3">
      <c r="A233" s="75">
        <v>29</v>
      </c>
      <c r="B233" s="70"/>
      <c r="C233" s="71"/>
      <c r="D233" s="72" t="s">
        <v>109</v>
      </c>
      <c r="E233" s="73"/>
      <c r="F233" s="68">
        <f t="shared" si="5"/>
        <v>0</v>
      </c>
    </row>
    <row r="234" spans="1:6" ht="15.75" thickBot="1" x14ac:dyDescent="0.3">
      <c r="A234" s="79">
        <v>30</v>
      </c>
      <c r="B234" s="54"/>
      <c r="C234" s="52"/>
      <c r="D234" s="53" t="s">
        <v>109</v>
      </c>
      <c r="E234" s="55"/>
      <c r="F234" s="68">
        <f t="shared" si="5"/>
        <v>0</v>
      </c>
    </row>
    <row r="235" spans="1:6" ht="15.75" thickBot="1" x14ac:dyDescent="0.3">
      <c r="A235" s="79">
        <v>31</v>
      </c>
      <c r="B235" s="46"/>
      <c r="C235" s="45"/>
      <c r="D235" s="65" t="s">
        <v>109</v>
      </c>
      <c r="E235" s="45"/>
      <c r="F235" s="68">
        <f t="shared" si="5"/>
        <v>0</v>
      </c>
    </row>
    <row r="236" spans="1:6" ht="15.75" thickBot="1" x14ac:dyDescent="0.3"/>
    <row r="237" spans="1:6" ht="15.75" thickBot="1" x14ac:dyDescent="0.3">
      <c r="A237" s="130" t="s">
        <v>239</v>
      </c>
      <c r="B237" s="131"/>
      <c r="C237" s="131"/>
      <c r="D237" s="131"/>
      <c r="E237" s="131"/>
      <c r="F237" s="131"/>
    </row>
    <row r="238" spans="1:6" ht="15.75" thickBot="1" x14ac:dyDescent="0.3">
      <c r="A238" s="44" t="s">
        <v>66</v>
      </c>
      <c r="B238" s="44" t="s">
        <v>108</v>
      </c>
      <c r="C238" s="44" t="s">
        <v>107</v>
      </c>
      <c r="D238" s="44" t="s">
        <v>67</v>
      </c>
      <c r="E238" s="44" t="s">
        <v>106</v>
      </c>
      <c r="F238" s="49" t="s">
        <v>68</v>
      </c>
    </row>
    <row r="239" spans="1:6" ht="15.75" thickBot="1" x14ac:dyDescent="0.3">
      <c r="A239" s="76">
        <v>1</v>
      </c>
      <c r="B239" s="58"/>
      <c r="C239" s="48"/>
      <c r="D239" s="59" t="s">
        <v>109</v>
      </c>
      <c r="E239" s="60"/>
      <c r="F239" s="68">
        <f>IF(D239="DASHCLUSTER classic V1",(E239*L243)-B239+C239,IF(D239="DASHCLUSTER premium V1",(E239*P243)-B239+C239,IF(D239="Bez prodejů",-B239+C239,"")))</f>
        <v>0</v>
      </c>
    </row>
    <row r="240" spans="1:6" ht="15.75" thickBot="1" x14ac:dyDescent="0.3">
      <c r="A240" s="76">
        <v>2</v>
      </c>
      <c r="B240" s="61"/>
      <c r="C240" s="52"/>
      <c r="D240" s="53" t="s">
        <v>109</v>
      </c>
      <c r="E240" s="62"/>
      <c r="F240" s="67">
        <f>IF(D240="DASHCLUSTER classic V1",(E240*L243)-B240+C240,IF(D240="DASHCLUSTER premium V1",(E240*P243)-B240+C240,IF(D240="Bez prodejů",-B240+C240,"")))</f>
        <v>0</v>
      </c>
    </row>
    <row r="241" spans="1:6" ht="15.75" thickBot="1" x14ac:dyDescent="0.3">
      <c r="A241" s="76">
        <v>3</v>
      </c>
      <c r="B241" s="61"/>
      <c r="C241" s="52"/>
      <c r="D241" s="53" t="s">
        <v>109</v>
      </c>
      <c r="E241" s="62"/>
      <c r="F241" s="68">
        <f>IF(D241="DASHCLUSTER classic V1",(E241*L243)-B241+C241,IF(D241="DASHCLUSTER premium V1",(E241*P243)-B241+C241,IF(D241="Bez prodejů",-B241+C241,"")))</f>
        <v>0</v>
      </c>
    </row>
    <row r="242" spans="1:6" ht="15.75" thickBot="1" x14ac:dyDescent="0.3">
      <c r="A242" s="76">
        <v>4</v>
      </c>
      <c r="B242" s="61"/>
      <c r="C242" s="52"/>
      <c r="D242" s="53" t="s">
        <v>109</v>
      </c>
      <c r="E242" s="62"/>
      <c r="F242" s="68">
        <f>IF(D242="DASHCLUSTER classic V1",(E242*L243)-B242+C242,IF(D242="DASHCLUSTER premium V1",(E242*P243)-B242+C242,IF(D242="Bez prodejů",-B242+C242,"")))</f>
        <v>0</v>
      </c>
    </row>
    <row r="243" spans="1:6" ht="15.75" thickBot="1" x14ac:dyDescent="0.3">
      <c r="A243" s="76">
        <v>5</v>
      </c>
      <c r="B243" s="61"/>
      <c r="C243" s="52"/>
      <c r="D243" s="53" t="s">
        <v>109</v>
      </c>
      <c r="E243" s="62"/>
      <c r="F243" s="67">
        <f>IF(D243="DASHCLUSTER classic V1",(E243*L243)-B243+C243,IF(D243="DASHCLUSTER premium V1",(E243*P243)-B243+C243,IF(D243="Bez prodejů",-B243+C243,"")))</f>
        <v>0</v>
      </c>
    </row>
    <row r="244" spans="1:6" ht="15.75" thickBot="1" x14ac:dyDescent="0.3">
      <c r="A244" s="76">
        <v>6</v>
      </c>
      <c r="B244" s="61"/>
      <c r="C244" s="52"/>
      <c r="D244" s="53" t="s">
        <v>109</v>
      </c>
      <c r="E244" s="62"/>
      <c r="F244" s="68">
        <f>IF(D244="DASHCLUSTER classic V1",(E244*L243)-B244+C244,IF(D244="DASHCLUSTER premium V1",(E244*P243)-B244+C244,IF(D244="Bez prodejů",-B244+C244,"")))</f>
        <v>0</v>
      </c>
    </row>
    <row r="245" spans="1:6" ht="15.75" thickBot="1" x14ac:dyDescent="0.3">
      <c r="A245" s="76">
        <v>7</v>
      </c>
      <c r="B245" s="61"/>
      <c r="C245" s="52"/>
      <c r="D245" s="53" t="s">
        <v>109</v>
      </c>
      <c r="E245" s="62"/>
      <c r="F245" s="68">
        <f>IF(D245="DASHCLUSTER classic V1",(E245*L243)-B245+C245,IF(D245="DASHCLUSTER premium V1",(E245*P243)-B245+C245,IF(D245="Bez prodejů",-B245+C245,"")))</f>
        <v>0</v>
      </c>
    </row>
    <row r="246" spans="1:6" ht="15.75" thickBot="1" x14ac:dyDescent="0.3">
      <c r="A246" s="76">
        <v>8</v>
      </c>
      <c r="B246" s="61"/>
      <c r="C246" s="52"/>
      <c r="D246" s="53" t="s">
        <v>109</v>
      </c>
      <c r="E246" s="62"/>
      <c r="F246" s="68">
        <f>IF(D246="DASHCLUSTER classic V1",(E246*L243)-B246+C246,IF(D246="DASHCLUSTER premium V1",(E246*P243)-B246+C246,IF(D246="Bez prodejů",-B246+C246,"")))</f>
        <v>0</v>
      </c>
    </row>
    <row r="247" spans="1:6" ht="15.75" thickBot="1" x14ac:dyDescent="0.3">
      <c r="A247" s="76">
        <v>9</v>
      </c>
      <c r="B247" s="61"/>
      <c r="C247" s="52"/>
      <c r="D247" s="53" t="s">
        <v>109</v>
      </c>
      <c r="E247" s="62"/>
      <c r="F247" s="67">
        <f>IF(D247="DASHCLUSTER classic V1",(E247*L243)-B247+C247,IF(D247="DASHCLUSTER premium V1",(E247*P243)-B247+C247,IF(D247="Bez prodejů",-B247+C247,"")))</f>
        <v>0</v>
      </c>
    </row>
    <row r="248" spans="1:6" ht="15.75" thickBot="1" x14ac:dyDescent="0.3">
      <c r="A248" s="76">
        <v>10</v>
      </c>
      <c r="B248" s="61"/>
      <c r="C248" s="52"/>
      <c r="D248" s="53" t="s">
        <v>109</v>
      </c>
      <c r="E248" s="62"/>
      <c r="F248" s="68">
        <f>IF(D248="DASHCLUSTER classic V1",(E248*L243)-B248+C248,IF(D248="DASHCLUSTER premium V1",(E248*P243)-B248+C248,IF(D248="Bez prodejů",-B248+C248,"")))</f>
        <v>0</v>
      </c>
    </row>
    <row r="249" spans="1:6" ht="15.75" thickBot="1" x14ac:dyDescent="0.3">
      <c r="A249" s="76">
        <v>11</v>
      </c>
      <c r="B249" s="61"/>
      <c r="C249" s="52"/>
      <c r="D249" s="53" t="s">
        <v>109</v>
      </c>
      <c r="E249" s="62"/>
      <c r="F249" s="68">
        <f>IF(D249="DASHCLUSTER classic V1",(E249*L243)-B249+C249,IF(D249="DASHCLUSTER premium V1",(E249*P243)-B249+C249,IF(D249="Bez prodejů",-B249+C249,"")))</f>
        <v>0</v>
      </c>
    </row>
    <row r="250" spans="1:6" ht="15.75" thickBot="1" x14ac:dyDescent="0.3">
      <c r="A250" s="76">
        <v>12</v>
      </c>
      <c r="B250" s="61"/>
      <c r="C250" s="52"/>
      <c r="D250" s="53" t="s">
        <v>109</v>
      </c>
      <c r="E250" s="62"/>
      <c r="F250" s="67">
        <f>IF(D250="DASHCLUSTER classic V1",(E250*L243)-B250+C250,IF(D250="DASHCLUSTER premium V1",(E250*P243)-B250+C250,IF(D250="Bez prodejů",-B250+C250,"")))</f>
        <v>0</v>
      </c>
    </row>
    <row r="251" spans="1:6" ht="15.75" thickBot="1" x14ac:dyDescent="0.3">
      <c r="A251" s="76">
        <v>13</v>
      </c>
      <c r="B251" s="61"/>
      <c r="C251" s="52"/>
      <c r="D251" s="53" t="s">
        <v>109</v>
      </c>
      <c r="E251" s="62"/>
      <c r="F251" s="68">
        <f>IF(D251="DASHCLUSTER classic V1",(E251*L243)-B251+C251,IF(D251="DASHCLUSTER premium V1",(E251*P243)-B251+C251,IF(D251="Bez prodejů",-B251+C251,"")))</f>
        <v>0</v>
      </c>
    </row>
    <row r="252" spans="1:6" ht="15.75" thickBot="1" x14ac:dyDescent="0.3">
      <c r="A252" s="76">
        <v>14</v>
      </c>
      <c r="B252" s="61"/>
      <c r="C252" s="52"/>
      <c r="D252" s="53" t="s">
        <v>109</v>
      </c>
      <c r="E252" s="62"/>
      <c r="F252" s="68">
        <f>IF(D252="DASHCLUSTER classic V1",(E252*L243)-B252+C252,IF(D252="DASHCLUSTER premium V1",(E252*P243)-B252+C252,IF(D252="Bez prodejů",-B252+C252,"")))</f>
        <v>0</v>
      </c>
    </row>
    <row r="253" spans="1:6" ht="15.75" thickBot="1" x14ac:dyDescent="0.3">
      <c r="A253" s="76">
        <v>15</v>
      </c>
      <c r="B253" s="61"/>
      <c r="C253" s="52"/>
      <c r="D253" s="53" t="s">
        <v>109</v>
      </c>
      <c r="E253" s="62"/>
      <c r="F253" s="68">
        <f>IF(D253="DASHCLUSTER classic V1",(E253*L243)-B253+C253,IF(D253="DASHCLUSTER premium V1",(E253*P243)-B253+C253,IF(D253="Bez prodejů",-B253+C253,"")))</f>
        <v>0</v>
      </c>
    </row>
    <row r="254" spans="1:6" ht="15.75" thickBot="1" x14ac:dyDescent="0.3">
      <c r="A254" s="76">
        <v>16</v>
      </c>
      <c r="B254" s="61"/>
      <c r="C254" s="52"/>
      <c r="D254" s="53" t="s">
        <v>109</v>
      </c>
      <c r="E254" s="62"/>
      <c r="F254" s="67">
        <f>IF(D254="DASHCLUSTER classic V1",(E254*L243)-B254+C254,IF(D254="DASHCLUSTER premium V1",(E254*P243)-B254+C254,IF(D254="Bez prodejů",-B254+C254,"")))</f>
        <v>0</v>
      </c>
    </row>
    <row r="255" spans="1:6" ht="15.75" thickBot="1" x14ac:dyDescent="0.3">
      <c r="A255" s="76">
        <v>17</v>
      </c>
      <c r="B255" s="61"/>
      <c r="C255" s="52"/>
      <c r="D255" s="53" t="s">
        <v>109</v>
      </c>
      <c r="E255" s="62"/>
      <c r="F255" s="68">
        <f>IF(D255="DASHCLUSTER classic V1",(E255*L243)-B255+C255,IF(D255="DASHCLUSTER premium V1",(E255*P243)-B255+C255,IF(D255="Bez prodejů",-B255+C255,"")))</f>
        <v>0</v>
      </c>
    </row>
    <row r="256" spans="1:6" ht="15.75" thickBot="1" x14ac:dyDescent="0.3">
      <c r="A256" s="76">
        <v>18</v>
      </c>
      <c r="B256" s="61"/>
      <c r="C256" s="52"/>
      <c r="D256" s="53" t="s">
        <v>109</v>
      </c>
      <c r="E256" s="62"/>
      <c r="F256" s="67">
        <f>IF(D256="DASHCLUSTER classic V1",(E256*L243)-B256+C256,IF(D256="DASHCLUSTER premium V1",(E256*P243)-B256+C256,IF(D256="Bez prodejů",-B256+C256,"")))</f>
        <v>0</v>
      </c>
    </row>
    <row r="257" spans="1:6" ht="15.75" thickBot="1" x14ac:dyDescent="0.3">
      <c r="A257" s="76">
        <v>19</v>
      </c>
      <c r="B257" s="61"/>
      <c r="C257" s="52"/>
      <c r="D257" s="53" t="s">
        <v>109</v>
      </c>
      <c r="E257" s="62"/>
      <c r="F257" s="68">
        <f>IF(D257="DASHCLUSTER classic V1",(E257*L243)-B257+C257,IF(D257="DASHCLUSTER premium V1",(E257*P243)-B257+C257,IF(D257="Bez prodejů",-B257+C257,"")))</f>
        <v>0</v>
      </c>
    </row>
    <row r="258" spans="1:6" ht="15.75" thickBot="1" x14ac:dyDescent="0.3">
      <c r="A258" s="76">
        <v>20</v>
      </c>
      <c r="B258" s="61"/>
      <c r="C258" s="52"/>
      <c r="D258" s="53" t="s">
        <v>109</v>
      </c>
      <c r="E258" s="62"/>
      <c r="F258" s="68">
        <f>IF(D258="DASHCLUSTER classic V1",(E258*L243)-B258+C258,IF(D258="DASHCLUSTER premium V1",(E258*P243)-B258+C258,IF(D258="Bez prodejů",-B258+C258,"")))</f>
        <v>0</v>
      </c>
    </row>
    <row r="259" spans="1:6" ht="15.75" thickBot="1" x14ac:dyDescent="0.3">
      <c r="A259" s="76">
        <v>21</v>
      </c>
      <c r="B259" s="61"/>
      <c r="C259" s="52"/>
      <c r="D259" s="53" t="s">
        <v>109</v>
      </c>
      <c r="E259" s="62"/>
      <c r="F259" s="67">
        <f>IF(D259="DASHCLUSTER classic V1",(E259*L243)-B259+C259,IF(D259="DASHCLUSTER premium V1",(E259*P243)-B259+C259,IF(D259="Bez prodejů",-B259+C259,"")))</f>
        <v>0</v>
      </c>
    </row>
    <row r="260" spans="1:6" ht="15.75" thickBot="1" x14ac:dyDescent="0.3">
      <c r="A260" s="76">
        <v>22</v>
      </c>
      <c r="B260" s="61"/>
      <c r="C260" s="52"/>
      <c r="D260" s="53" t="s">
        <v>109</v>
      </c>
      <c r="E260" s="62"/>
      <c r="F260" s="68">
        <f>IF(D260="DASHCLUSTER classic V1",(E260*L243)-B260+C260,IF(D260="DASHCLUSTER premium V1",(E260*P243)-B260+C260,IF(D260="Bez prodejů",-B260+C260,"")))</f>
        <v>0</v>
      </c>
    </row>
    <row r="261" spans="1:6" ht="15.75" thickBot="1" x14ac:dyDescent="0.3">
      <c r="A261" s="76">
        <v>23</v>
      </c>
      <c r="B261" s="61"/>
      <c r="C261" s="52"/>
      <c r="D261" s="53" t="s">
        <v>109</v>
      </c>
      <c r="E261" s="62"/>
      <c r="F261" s="68">
        <f>IF(D261="DASHCLUSTER classic V1",(E261*L243)-B261+C261,IF(D261="DASHCLUSTER premium V1",(E261*P243)-B261+C261,IF(D261="Bez prodejů",-B261+C261,"")))</f>
        <v>0</v>
      </c>
    </row>
    <row r="262" spans="1:6" ht="15.75" thickBot="1" x14ac:dyDescent="0.3">
      <c r="A262" s="76">
        <v>24</v>
      </c>
      <c r="B262" s="61"/>
      <c r="C262" s="52"/>
      <c r="D262" s="53" t="s">
        <v>109</v>
      </c>
      <c r="E262" s="62"/>
      <c r="F262" s="68">
        <f>IF(D262="DASHCLUSTER classic V1",(E262*L243)-B262+C262,IF(D262="DASHCLUSTER premium V1",(E262*P243)-B262+C262,IF(D262="Bez prodejů",-B262+C262,"")))</f>
        <v>0</v>
      </c>
    </row>
    <row r="263" spans="1:6" ht="15.75" thickBot="1" x14ac:dyDescent="0.3">
      <c r="A263" s="76">
        <v>25</v>
      </c>
      <c r="B263" s="61"/>
      <c r="C263" s="52"/>
      <c r="D263" s="53" t="s">
        <v>109</v>
      </c>
      <c r="E263" s="62"/>
      <c r="F263" s="67">
        <f>IF(D263="DASHCLUSTER classic V1",(E263*L243)-B263+C263,IF(D263="DASHCLUSTER premium V1",(E263*P243)-B263+C263,IF(D263="Bez prodejů",-B263+C263,"")))</f>
        <v>0</v>
      </c>
    </row>
    <row r="264" spans="1:6" ht="15.75" thickBot="1" x14ac:dyDescent="0.3">
      <c r="A264" s="76">
        <v>26</v>
      </c>
      <c r="B264" s="61"/>
      <c r="C264" s="52"/>
      <c r="D264" s="53" t="s">
        <v>109</v>
      </c>
      <c r="E264" s="62"/>
      <c r="F264" s="68">
        <f>IF(D264="DASHCLUSTER classic V1",(E264*L243)-B264+C264,IF(D264="DASHCLUSTER premium V1",(E264*P243)-B264+C264,IF(D264="Bez prodejů",-B264+C264,"")))</f>
        <v>0</v>
      </c>
    </row>
    <row r="265" spans="1:6" ht="15.75" thickBot="1" x14ac:dyDescent="0.3">
      <c r="A265" s="76">
        <v>27</v>
      </c>
      <c r="B265" s="61"/>
      <c r="C265" s="52"/>
      <c r="D265" s="53" t="s">
        <v>109</v>
      </c>
      <c r="E265" s="62"/>
      <c r="F265" s="68">
        <f>IF(D265="DASHCLUSTER classic V1",(E265*L243)-B265+C265,IF(D265="DASHCLUSTER premium V1",(E265*P243)-B265+C265,IF(D265="Bez prodejů",-B265+C265,"")))</f>
        <v>0</v>
      </c>
    </row>
    <row r="266" spans="1:6" ht="15.75" thickBot="1" x14ac:dyDescent="0.3">
      <c r="A266" s="76">
        <v>28</v>
      </c>
      <c r="B266" s="61"/>
      <c r="C266" s="52"/>
      <c r="D266" s="53" t="s">
        <v>109</v>
      </c>
      <c r="E266" s="62"/>
      <c r="F266" s="67">
        <f>IF(D266="DASHCLUSTER classic V1",(E266*L243)-B266+C266,IF(D266="DASHCLUSTER premium V1",(E266*P243)-B266+C266,IF(D266="Bez prodejů",-B266+C266,"")))</f>
        <v>0</v>
      </c>
    </row>
    <row r="267" spans="1:6" ht="15.75" thickBot="1" x14ac:dyDescent="0.3">
      <c r="A267" s="76">
        <v>29</v>
      </c>
      <c r="B267" s="61"/>
      <c r="C267" s="52"/>
      <c r="D267" s="53" t="s">
        <v>109</v>
      </c>
      <c r="E267" s="62"/>
      <c r="F267" s="68">
        <f>IF(D267="DASHCLUSTER classic V1",(E267*L243)-B267+C267,IF(D267="DASHCLUSTER premium V1",(E267*P243)-B267+C267,IF(D267="Bez prodejů",-B267+C267,"")))</f>
        <v>0</v>
      </c>
    </row>
    <row r="268" spans="1:6" ht="15.75" thickBot="1" x14ac:dyDescent="0.3">
      <c r="A268" s="76">
        <v>30</v>
      </c>
      <c r="B268" s="63"/>
      <c r="C268" s="64"/>
      <c r="D268" s="65" t="s">
        <v>109</v>
      </c>
      <c r="E268" s="66"/>
      <c r="F268" s="68">
        <f>IF(D268="DASHCLUSTER classic V1",(E268*L243)-B268+C268,IF(D268="DASHCLUSTER premium V1",(E268*P243)-B268+C268,IF(D268="Bez prodejů",-B268+C268,"")))</f>
        <v>0</v>
      </c>
    </row>
    <row r="269" spans="1:6" ht="15.75" thickBot="1" x14ac:dyDescent="0.3"/>
    <row r="270" spans="1:6" ht="15.75" thickBot="1" x14ac:dyDescent="0.3">
      <c r="A270" s="130" t="s">
        <v>110</v>
      </c>
      <c r="B270" s="131"/>
      <c r="C270" s="131"/>
      <c r="D270" s="131"/>
      <c r="E270" s="131"/>
      <c r="F270" s="131"/>
    </row>
    <row r="271" spans="1:6" ht="15.75" thickBot="1" x14ac:dyDescent="0.3">
      <c r="A271" s="44" t="s">
        <v>66</v>
      </c>
      <c r="B271" s="44" t="s">
        <v>108</v>
      </c>
      <c r="C271" s="44" t="s">
        <v>107</v>
      </c>
      <c r="D271" s="44" t="s">
        <v>67</v>
      </c>
      <c r="E271" s="44" t="s">
        <v>106</v>
      </c>
      <c r="F271" s="49" t="s">
        <v>68</v>
      </c>
    </row>
    <row r="272" spans="1:6" ht="15.75" thickBot="1" x14ac:dyDescent="0.3">
      <c r="A272" s="77">
        <v>1</v>
      </c>
      <c r="B272" s="58"/>
      <c r="C272" s="48"/>
      <c r="D272" s="59" t="s">
        <v>109</v>
      </c>
      <c r="E272" s="60"/>
      <c r="F272" s="68">
        <f>IF(D272="DASHCLUSTER classic V1",(E272*$L$8)-B272+C272,IF(D272="DASHCLUSTER premium V1",(E272*$P$8)-B272+C272,IF(D272="Bez prodejů",-B272+C272,"")))</f>
        <v>0</v>
      </c>
    </row>
    <row r="273" spans="1:6" ht="15.75" thickBot="1" x14ac:dyDescent="0.3">
      <c r="A273" s="77">
        <v>2</v>
      </c>
      <c r="B273" s="61"/>
      <c r="C273" s="52"/>
      <c r="D273" s="53" t="s">
        <v>109</v>
      </c>
      <c r="E273" s="62"/>
      <c r="F273" s="67">
        <f>IF(D273="DASHCLUSTER classic V1",(E273*$L$8)-B273+C273,IF(D273="DASHCLUSTER premium V1",(E273*$P$8)-B273+C273,IF(D273="Bez prodejů",-B273+C273,"")))</f>
        <v>0</v>
      </c>
    </row>
    <row r="274" spans="1:6" ht="15.75" thickBot="1" x14ac:dyDescent="0.3">
      <c r="A274" s="77">
        <v>3</v>
      </c>
      <c r="B274" s="61"/>
      <c r="C274" s="52"/>
      <c r="D274" s="53" t="s">
        <v>109</v>
      </c>
      <c r="E274" s="62"/>
      <c r="F274" s="68">
        <f t="shared" ref="F274:F302" si="6">IF(D274="DASHCLUSTER classic V1",(E274*$L$8)-B274+C274,IF(D274="DASHCLUSTER premium V1",(E274*$P$8)-B274+C274,IF(D274="Bez prodejů",-B274+C274,"")))</f>
        <v>0</v>
      </c>
    </row>
    <row r="275" spans="1:6" ht="15.75" thickBot="1" x14ac:dyDescent="0.3">
      <c r="A275" s="77">
        <v>4</v>
      </c>
      <c r="B275" s="61"/>
      <c r="C275" s="52"/>
      <c r="D275" s="53" t="s">
        <v>109</v>
      </c>
      <c r="E275" s="62"/>
      <c r="F275" s="67">
        <f t="shared" si="6"/>
        <v>0</v>
      </c>
    </row>
    <row r="276" spans="1:6" ht="15.75" thickBot="1" x14ac:dyDescent="0.3">
      <c r="A276" s="77">
        <v>5</v>
      </c>
      <c r="B276" s="61"/>
      <c r="C276" s="52"/>
      <c r="D276" s="53" t="s">
        <v>109</v>
      </c>
      <c r="E276" s="62"/>
      <c r="F276" s="68">
        <f t="shared" si="6"/>
        <v>0</v>
      </c>
    </row>
    <row r="277" spans="1:6" ht="15.75" thickBot="1" x14ac:dyDescent="0.3">
      <c r="A277" s="77">
        <v>6</v>
      </c>
      <c r="B277" s="61"/>
      <c r="C277" s="52"/>
      <c r="D277" s="53" t="s">
        <v>109</v>
      </c>
      <c r="E277" s="62"/>
      <c r="F277" s="67">
        <f t="shared" si="6"/>
        <v>0</v>
      </c>
    </row>
    <row r="278" spans="1:6" ht="15.75" thickBot="1" x14ac:dyDescent="0.3">
      <c r="A278" s="77">
        <v>7</v>
      </c>
      <c r="B278" s="61"/>
      <c r="C278" s="52"/>
      <c r="D278" s="53" t="s">
        <v>109</v>
      </c>
      <c r="E278" s="62"/>
      <c r="F278" s="68">
        <f t="shared" si="6"/>
        <v>0</v>
      </c>
    </row>
    <row r="279" spans="1:6" ht="15.75" thickBot="1" x14ac:dyDescent="0.3">
      <c r="A279" s="77">
        <v>8</v>
      </c>
      <c r="B279" s="61"/>
      <c r="C279" s="52"/>
      <c r="D279" s="53" t="s">
        <v>109</v>
      </c>
      <c r="E279" s="62"/>
      <c r="F279" s="67">
        <f t="shared" si="6"/>
        <v>0</v>
      </c>
    </row>
    <row r="280" spans="1:6" ht="15.75" thickBot="1" x14ac:dyDescent="0.3">
      <c r="A280" s="77">
        <v>9</v>
      </c>
      <c r="B280" s="61"/>
      <c r="C280" s="52"/>
      <c r="D280" s="53" t="s">
        <v>109</v>
      </c>
      <c r="E280" s="62"/>
      <c r="F280" s="68">
        <f t="shared" si="6"/>
        <v>0</v>
      </c>
    </row>
    <row r="281" spans="1:6" ht="15.75" thickBot="1" x14ac:dyDescent="0.3">
      <c r="A281" s="77">
        <v>10</v>
      </c>
      <c r="B281" s="61"/>
      <c r="C281" s="52"/>
      <c r="D281" s="53" t="s">
        <v>109</v>
      </c>
      <c r="E281" s="62"/>
      <c r="F281" s="67">
        <f t="shared" si="6"/>
        <v>0</v>
      </c>
    </row>
    <row r="282" spans="1:6" ht="15.75" thickBot="1" x14ac:dyDescent="0.3">
      <c r="A282" s="77">
        <v>11</v>
      </c>
      <c r="B282" s="61"/>
      <c r="C282" s="52"/>
      <c r="D282" s="53" t="s">
        <v>109</v>
      </c>
      <c r="E282" s="62"/>
      <c r="F282" s="68">
        <f t="shared" si="6"/>
        <v>0</v>
      </c>
    </row>
    <row r="283" spans="1:6" ht="15.75" thickBot="1" x14ac:dyDescent="0.3">
      <c r="A283" s="77">
        <v>12</v>
      </c>
      <c r="B283" s="61"/>
      <c r="C283" s="52"/>
      <c r="D283" s="53" t="s">
        <v>109</v>
      </c>
      <c r="E283" s="62"/>
      <c r="F283" s="67">
        <f t="shared" si="6"/>
        <v>0</v>
      </c>
    </row>
    <row r="284" spans="1:6" ht="15.75" thickBot="1" x14ac:dyDescent="0.3">
      <c r="A284" s="77">
        <v>13</v>
      </c>
      <c r="B284" s="61"/>
      <c r="C284" s="52"/>
      <c r="D284" s="53" t="s">
        <v>109</v>
      </c>
      <c r="E284" s="62"/>
      <c r="F284" s="68">
        <f t="shared" si="6"/>
        <v>0</v>
      </c>
    </row>
    <row r="285" spans="1:6" ht="15.75" thickBot="1" x14ac:dyDescent="0.3">
      <c r="A285" s="77">
        <v>14</v>
      </c>
      <c r="B285" s="61"/>
      <c r="C285" s="52"/>
      <c r="D285" s="53" t="s">
        <v>109</v>
      </c>
      <c r="E285" s="62"/>
      <c r="F285" s="67">
        <f t="shared" si="6"/>
        <v>0</v>
      </c>
    </row>
    <row r="286" spans="1:6" ht="15.75" thickBot="1" x14ac:dyDescent="0.3">
      <c r="A286" s="77">
        <v>15</v>
      </c>
      <c r="B286" s="61"/>
      <c r="C286" s="52"/>
      <c r="D286" s="53" t="s">
        <v>109</v>
      </c>
      <c r="E286" s="62"/>
      <c r="F286" s="68">
        <f t="shared" si="6"/>
        <v>0</v>
      </c>
    </row>
    <row r="287" spans="1:6" ht="15.75" thickBot="1" x14ac:dyDescent="0.3">
      <c r="A287" s="77">
        <v>16</v>
      </c>
      <c r="B287" s="61"/>
      <c r="C287" s="52"/>
      <c r="D287" s="53" t="s">
        <v>109</v>
      </c>
      <c r="E287" s="62"/>
      <c r="F287" s="67">
        <f t="shared" si="6"/>
        <v>0</v>
      </c>
    </row>
    <row r="288" spans="1:6" ht="15.75" thickBot="1" x14ac:dyDescent="0.3">
      <c r="A288" s="77">
        <v>17</v>
      </c>
      <c r="B288" s="61"/>
      <c r="C288" s="52"/>
      <c r="D288" s="53" t="s">
        <v>109</v>
      </c>
      <c r="E288" s="62"/>
      <c r="F288" s="68">
        <f t="shared" si="6"/>
        <v>0</v>
      </c>
    </row>
    <row r="289" spans="1:6" ht="15.75" thickBot="1" x14ac:dyDescent="0.3">
      <c r="A289" s="77">
        <v>18</v>
      </c>
      <c r="B289" s="61"/>
      <c r="C289" s="52"/>
      <c r="D289" s="53" t="s">
        <v>109</v>
      </c>
      <c r="E289" s="62"/>
      <c r="F289" s="67">
        <f t="shared" si="6"/>
        <v>0</v>
      </c>
    </row>
    <row r="290" spans="1:6" ht="15.75" thickBot="1" x14ac:dyDescent="0.3">
      <c r="A290" s="77">
        <v>19</v>
      </c>
      <c r="B290" s="61"/>
      <c r="C290" s="52"/>
      <c r="D290" s="53" t="s">
        <v>109</v>
      </c>
      <c r="E290" s="62"/>
      <c r="F290" s="68">
        <f t="shared" si="6"/>
        <v>0</v>
      </c>
    </row>
    <row r="291" spans="1:6" ht="15.75" thickBot="1" x14ac:dyDescent="0.3">
      <c r="A291" s="77">
        <v>20</v>
      </c>
      <c r="B291" s="61"/>
      <c r="C291" s="52"/>
      <c r="D291" s="53" t="s">
        <v>109</v>
      </c>
      <c r="E291" s="62"/>
      <c r="F291" s="67">
        <f t="shared" si="6"/>
        <v>0</v>
      </c>
    </row>
    <row r="292" spans="1:6" ht="15.75" thickBot="1" x14ac:dyDescent="0.3">
      <c r="A292" s="77">
        <v>21</v>
      </c>
      <c r="B292" s="61"/>
      <c r="C292" s="52"/>
      <c r="D292" s="53" t="s">
        <v>109</v>
      </c>
      <c r="E292" s="62"/>
      <c r="F292" s="68">
        <f t="shared" si="6"/>
        <v>0</v>
      </c>
    </row>
    <row r="293" spans="1:6" ht="15.75" thickBot="1" x14ac:dyDescent="0.3">
      <c r="A293" s="77">
        <v>22</v>
      </c>
      <c r="B293" s="61"/>
      <c r="C293" s="52"/>
      <c r="D293" s="53" t="s">
        <v>109</v>
      </c>
      <c r="E293" s="62"/>
      <c r="F293" s="67">
        <f t="shared" si="6"/>
        <v>0</v>
      </c>
    </row>
    <row r="294" spans="1:6" ht="15.75" thickBot="1" x14ac:dyDescent="0.3">
      <c r="A294" s="77">
        <v>23</v>
      </c>
      <c r="B294" s="61"/>
      <c r="C294" s="52"/>
      <c r="D294" s="53" t="s">
        <v>109</v>
      </c>
      <c r="E294" s="62"/>
      <c r="F294" s="68">
        <f t="shared" si="6"/>
        <v>0</v>
      </c>
    </row>
    <row r="295" spans="1:6" ht="15.75" thickBot="1" x14ac:dyDescent="0.3">
      <c r="A295" s="77">
        <v>24</v>
      </c>
      <c r="B295" s="61"/>
      <c r="C295" s="52"/>
      <c r="D295" s="53" t="s">
        <v>109</v>
      </c>
      <c r="E295" s="62"/>
      <c r="F295" s="67">
        <f t="shared" si="6"/>
        <v>0</v>
      </c>
    </row>
    <row r="296" spans="1:6" ht="15.75" thickBot="1" x14ac:dyDescent="0.3">
      <c r="A296" s="77">
        <v>25</v>
      </c>
      <c r="B296" s="61"/>
      <c r="C296" s="52"/>
      <c r="D296" s="53" t="s">
        <v>109</v>
      </c>
      <c r="E296" s="62"/>
      <c r="F296" s="68">
        <f t="shared" si="6"/>
        <v>0</v>
      </c>
    </row>
    <row r="297" spans="1:6" ht="15.75" thickBot="1" x14ac:dyDescent="0.3">
      <c r="A297" s="77">
        <v>26</v>
      </c>
      <c r="B297" s="61"/>
      <c r="C297" s="52"/>
      <c r="D297" s="53" t="s">
        <v>109</v>
      </c>
      <c r="E297" s="62"/>
      <c r="F297" s="67">
        <f t="shared" si="6"/>
        <v>0</v>
      </c>
    </row>
    <row r="298" spans="1:6" ht="15.75" thickBot="1" x14ac:dyDescent="0.3">
      <c r="A298" s="77">
        <v>27</v>
      </c>
      <c r="B298" s="61"/>
      <c r="C298" s="52"/>
      <c r="D298" s="53" t="s">
        <v>109</v>
      </c>
      <c r="E298" s="62"/>
      <c r="F298" s="68">
        <f t="shared" si="6"/>
        <v>0</v>
      </c>
    </row>
    <row r="299" spans="1:6" ht="15.75" thickBot="1" x14ac:dyDescent="0.3">
      <c r="A299" s="77">
        <v>28</v>
      </c>
      <c r="B299" s="61"/>
      <c r="C299" s="52"/>
      <c r="D299" s="53" t="s">
        <v>109</v>
      </c>
      <c r="E299" s="62"/>
      <c r="F299" s="67">
        <f t="shared" si="6"/>
        <v>0</v>
      </c>
    </row>
    <row r="300" spans="1:6" ht="15.75" thickBot="1" x14ac:dyDescent="0.3">
      <c r="A300" s="77">
        <v>29</v>
      </c>
      <c r="B300" s="70"/>
      <c r="C300" s="71"/>
      <c r="D300" s="72" t="s">
        <v>109</v>
      </c>
      <c r="E300" s="73"/>
      <c r="F300" s="68">
        <f t="shared" si="6"/>
        <v>0</v>
      </c>
    </row>
    <row r="301" spans="1:6" ht="15.75" thickBot="1" x14ac:dyDescent="0.3">
      <c r="A301" s="78">
        <v>30</v>
      </c>
      <c r="B301" s="54"/>
      <c r="C301" s="52"/>
      <c r="D301" s="53" t="s">
        <v>109</v>
      </c>
      <c r="E301" s="55"/>
      <c r="F301" s="68">
        <f t="shared" si="6"/>
        <v>0</v>
      </c>
    </row>
    <row r="302" spans="1:6" ht="15.75" thickBot="1" x14ac:dyDescent="0.3">
      <c r="A302" s="78">
        <v>31</v>
      </c>
      <c r="B302" s="46"/>
      <c r="C302" s="45"/>
      <c r="D302" s="65" t="s">
        <v>109</v>
      </c>
      <c r="E302" s="45"/>
      <c r="F302" s="68">
        <f t="shared" si="6"/>
        <v>0</v>
      </c>
    </row>
  </sheetData>
  <mergeCells count="48">
    <mergeCell ref="P7:Q7"/>
    <mergeCell ref="A270:F270"/>
    <mergeCell ref="J9:K9"/>
    <mergeCell ref="L9:M9"/>
    <mergeCell ref="N9:O9"/>
    <mergeCell ref="P9:Q9"/>
    <mergeCell ref="A35:F35"/>
    <mergeCell ref="A69:F69"/>
    <mergeCell ref="A102:F102"/>
    <mergeCell ref="A136:F136"/>
    <mergeCell ref="A170:F170"/>
    <mergeCell ref="A203:F203"/>
    <mergeCell ref="A237:F237"/>
    <mergeCell ref="J8:K8"/>
    <mergeCell ref="L8:M8"/>
    <mergeCell ref="N8:O8"/>
    <mergeCell ref="P8:Q8"/>
    <mergeCell ref="H5:I5"/>
    <mergeCell ref="J5:K5"/>
    <mergeCell ref="L5:M5"/>
    <mergeCell ref="N5:O5"/>
    <mergeCell ref="P5:Q5"/>
    <mergeCell ref="H6:I6"/>
    <mergeCell ref="J6:K6"/>
    <mergeCell ref="L6:M6"/>
    <mergeCell ref="N6:O6"/>
    <mergeCell ref="P6:Q6"/>
    <mergeCell ref="H7:I7"/>
    <mergeCell ref="J7:K7"/>
    <mergeCell ref="L7:M7"/>
    <mergeCell ref="N7:O7"/>
    <mergeCell ref="H3:I3"/>
    <mergeCell ref="J3:K3"/>
    <mergeCell ref="L3:M3"/>
    <mergeCell ref="N3:O3"/>
    <mergeCell ref="P3:Q3"/>
    <mergeCell ref="H4:I4"/>
    <mergeCell ref="J4:K4"/>
    <mergeCell ref="L4:M4"/>
    <mergeCell ref="N4:O4"/>
    <mergeCell ref="P4:Q4"/>
    <mergeCell ref="A1:F1"/>
    <mergeCell ref="H1:I1"/>
    <mergeCell ref="J1:Q1"/>
    <mergeCell ref="A2:F2"/>
    <mergeCell ref="G2:I2"/>
    <mergeCell ref="J2:M2"/>
    <mergeCell ref="N2:Q2"/>
  </mergeCells>
  <dataValidations count="1">
    <dataValidation type="list" allowBlank="1" showInputMessage="1" showErrorMessage="1" sqref="D4:D33 D37:D67 D71:D100 D205:D235 D104:D134 D172:D201 D138:D168 D239:D268 D272:D302" xr:uid="{125A2907-3449-4D6B-A008-E672C4B6B22D}">
      <formula1>"Bez prodejů, DASHCLUSTER classic V1, DASHCLUSTER premium V1"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SKLAD</vt:lpstr>
      <vt:lpstr>DASHCLUSTER classic V1</vt:lpstr>
      <vt:lpstr>DASHCLUSTER premium V1</vt:lpstr>
      <vt:lpstr>Rok 2026</vt:lpstr>
      <vt:lpstr>Rok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Antonín Ulich</dc:creator>
  <cp:lastModifiedBy>Antonín Ulich</cp:lastModifiedBy>
  <dcterms:created xsi:type="dcterms:W3CDTF">2026-01-19T20:34:00Z</dcterms:created>
  <dcterms:modified xsi:type="dcterms:W3CDTF">2026-05-15T14:26:00Z</dcterms:modified>
</cp:coreProperties>
</file>